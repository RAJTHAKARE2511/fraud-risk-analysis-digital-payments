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jayeshsunilthakare/Desktop/SQL/fraud_detection/dashboard/"/>
    </mc:Choice>
  </mc:AlternateContent>
  <xr:revisionPtr revIDLastSave="0" documentId="13_ncr:1_{B6F6E323-4F19-4449-A585-085333718BD1}" xr6:coauthVersionLast="47" xr6:coauthVersionMax="47" xr10:uidLastSave="{00000000-0000-0000-0000-000000000000}"/>
  <bookViews>
    <workbookView xWindow="0" yWindow="600" windowWidth="28800" windowHeight="17400" activeTab="6" xr2:uid="{2E5831A5-867D-D041-BE0D-4883940ED5E0}"/>
  </bookViews>
  <sheets>
    <sheet name="kpisummary" sheetId="6" r:id="rId1"/>
    <sheet name="fraudbytype" sheetId="8" r:id="rId2"/>
    <sheet name="fraudtrend" sheetId="5" r:id="rId3"/>
    <sheet name="frauddetection" sheetId="4" r:id="rId4"/>
    <sheet name="fraudbehaviour" sheetId="2" r:id="rId5"/>
    <sheet name="amountbucket" sheetId="9" r:id="rId6"/>
    <sheet name="Dashboard" sheetId="1" r:id="rId7"/>
  </sheets>
  <definedNames>
    <definedName name="ExternalData_1" localSheetId="5" hidden="1">amountbucket!$A$1:$C$7</definedName>
    <definedName name="ExternalData_1" localSheetId="4" hidden="1">fraudbehaviour!$A$1:$H$3</definedName>
    <definedName name="ExternalData_3" localSheetId="3" hidden="1">frauddetection!$A$1:$F$2</definedName>
    <definedName name="ExternalData_4" localSheetId="2" hidden="1">fraudtrend!$A$1:$C$25</definedName>
    <definedName name="ExternalData_5" localSheetId="1" hidden="1">fraudbytype!$A$1:$E$6</definedName>
    <definedName name="ExternalData_5" localSheetId="0" hidden="1">kpisummary!$A$1:$D$2</definedName>
    <definedName name="Slicer_Transaction_typ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 i="4" l="1"/>
  <c r="D2" i="9"/>
  <c r="D5" i="9"/>
  <c r="D3" i="9"/>
  <c r="D6" i="9"/>
  <c r="D4" i="9"/>
  <c r="D7" i="9"/>
  <c r="G2" i="4"/>
  <c r="C20" i="9"/>
  <c r="C15" i="9"/>
  <c r="C14" i="9"/>
  <c r="C13" i="9"/>
  <c r="C12" i="9"/>
  <c r="C11" i="9"/>
  <c r="C10" i="9"/>
  <c r="A11" i="9"/>
  <c r="A12" i="9"/>
  <c r="A13" i="9"/>
  <c r="A14" i="9"/>
  <c r="A15" i="9"/>
  <c r="A10"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67ACEF-1A4C-D541-838D-51FFF83DC457}" keepAlive="1" name="Query - amountbucket" description="Connection to the 'amountbucket' query in the workbook." type="5" refreshedVersion="8" background="1" saveData="1">
    <dbPr connection="Provider=Microsoft.Mashup.OleDb.1;Data Source=$Workbook$;Location=amountbucket;Extended Properties=&quot;&quot;" command="SELECT * FROM [amountbucket]"/>
  </connection>
  <connection id="2" xr16:uid="{2239EE77-E45A-E342-8CA1-030781797DA0}" keepAlive="1" name="Query - fraudbehaviour" description="Connection to the 'fraudbehaviour' query in the workbook." type="5" refreshedVersion="8" background="1" saveData="1">
    <dbPr connection="Provider=Microsoft.Mashup.OleDb.1;Data Source=$Workbook$;Location=fraudbehaviour;Extended Properties=&quot;&quot;" command="SELECT * FROM [fraudbehaviour]"/>
  </connection>
  <connection id="3" xr16:uid="{19F296D0-F864-AB4A-B2FB-A25D38681CA3}" keepAlive="1" name="Query - fraudbytype(1)" description="Connection to the 'fraudbytype' query in the workbook." type="5" refreshedVersion="8" background="1" saveData="1">
    <dbPr connection="Provider=Microsoft.Mashup.OleDb.1;Data Source=$Workbook$;Location=fraudbytype;Extended Properties=&quot;&quot;" command="SELECT * FROM [fraudbytype]"/>
  </connection>
  <connection id="4" xr16:uid="{01D10309-BEA3-1C49-84FA-715F41C784DF}" keepAlive="1" name="Query - frauddetection" description="Connection to the 'frauddetection' query in the workbook." type="5" refreshedVersion="8" background="1" saveData="1">
    <dbPr connection="Provider=Microsoft.Mashup.OleDb.1;Data Source=$Workbook$;Location=frauddetection;Extended Properties=&quot;&quot;" command="SELECT * FROM [frauddetection]"/>
  </connection>
  <connection id="5" xr16:uid="{6BD4EFB0-F735-8944-8B6F-688E0FB0EE2D}" keepAlive="1" name="Query - fraudtrend" description="Connection to the 'fraudtrend' query in the workbook." type="5" refreshedVersion="8" background="1" saveData="1">
    <dbPr connection="Provider=Microsoft.Mashup.OleDb.1;Data Source=$Workbook$;Location=fraudtrend;Extended Properties=&quot;&quot;" command="SELECT * FROM [fraudtrend]"/>
  </connection>
  <connection id="6" xr16:uid="{0E84A231-2203-6F40-8966-DE5698D01750}" keepAlive="1" name="Query - kpisummary" description="Connection to the 'kpisummary' query in the workbook." type="5" refreshedVersion="8" background="1" saveData="1">
    <dbPr connection="Provider=Microsoft.Mashup.OleDb.1;Data Source=$Workbook$;Location=kpisummary;Extended Properties=&quot;&quot;" command="SELECT * FROM [kpisummary]"/>
  </connection>
</connections>
</file>

<file path=xl/sharedStrings.xml><?xml version="1.0" encoding="utf-8"?>
<sst xmlns="http://schemas.openxmlformats.org/spreadsheetml/2006/main" count="55" uniqueCount="38">
  <si>
    <t>isFraud</t>
  </si>
  <si>
    <t>total_transactions</t>
  </si>
  <si>
    <t>avg_amount</t>
  </si>
  <si>
    <t>min_amount</t>
  </si>
  <si>
    <t>max_amount</t>
  </si>
  <si>
    <t>zero_balance_cases</t>
  </si>
  <si>
    <t>zero_balance_rate</t>
  </si>
  <si>
    <t>Transaction_type</t>
  </si>
  <si>
    <t>total_fraud_transactions</t>
  </si>
  <si>
    <t>fraud_percentage</t>
  </si>
  <si>
    <t>fraud_loss</t>
  </si>
  <si>
    <t>PAYMENT</t>
  </si>
  <si>
    <t>TRANSFER</t>
  </si>
  <si>
    <t>CASH_OUT</t>
  </si>
  <si>
    <t>DEBIT</t>
  </si>
  <si>
    <t>CASH_IN</t>
  </si>
  <si>
    <t>actual_fraud_count</t>
  </si>
  <si>
    <t>system_flagged_count</t>
  </si>
  <si>
    <t>caught_fraud_count</t>
  </si>
  <si>
    <t>actual_fraud_loss</t>
  </si>
  <si>
    <t>caught_fraud_loss</t>
  </si>
  <si>
    <t>detection_rate</t>
  </si>
  <si>
    <t>hour_step</t>
  </si>
  <si>
    <t>fraud_count</t>
  </si>
  <si>
    <t>fraud_loss_per_hour</t>
  </si>
  <si>
    <t>fraud_transactions</t>
  </si>
  <si>
    <t>fraud_rate</t>
  </si>
  <si>
    <t>amount_bucket</t>
  </si>
  <si>
    <t>High</t>
  </si>
  <si>
    <t>Low</t>
  </si>
  <si>
    <t>Medium</t>
  </si>
  <si>
    <t>Amount Bucket Fraud Class</t>
  </si>
  <si>
    <t>No.of.transactions</t>
  </si>
  <si>
    <t>avg_balance_drop_org</t>
  </si>
  <si>
    <t>undetected_rate</t>
  </si>
  <si>
    <t>Rate</t>
  </si>
  <si>
    <t>avg_balance_drop</t>
  </si>
  <si>
    <t>txn_count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</si>
</sst>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 M&quot;"/>
    <numFmt numFmtId="165" formatCode="0.000,,&quot; M&quot;"/>
  </numFmts>
  <fonts count="4">
    <font>
      <sz val="12"/>
      <color theme="1"/>
      <name val="SegoeUISymbol"/>
      <family val="2"/>
    </font>
    <font>
      <sz val="12"/>
      <color theme="1"/>
      <name val="SegoeUISymbol"/>
      <family val="2"/>
    </font>
    <font>
      <b/>
      <sz val="12"/>
      <color theme="0"/>
      <name val="SegoeUISymbol"/>
      <family val="2"/>
    </font>
    <font>
      <sz val="8"/>
      <name val="SegoeUISymbol"/>
      <family val="2"/>
    </font>
  </fonts>
  <fills count="5">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
      <patternFill patternType="solid">
        <fgColor theme="6"/>
        <bgColor theme="6"/>
      </patternFill>
    </fill>
  </fills>
  <borders count="7">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0"/>
      </right>
      <top/>
      <bottom style="thick">
        <color theme="0"/>
      </bottom>
      <diagonal/>
    </border>
    <border>
      <left style="thin">
        <color theme="0"/>
      </left>
      <right/>
      <top/>
      <bottom style="thick">
        <color theme="0"/>
      </bottom>
      <diagonal/>
    </border>
    <border>
      <left style="thin">
        <color theme="0"/>
      </left>
      <right style="thin">
        <color theme="0"/>
      </right>
      <top/>
      <bottom style="thick">
        <color theme="0"/>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64" fontId="0" fillId="0" borderId="0" xfId="0" applyNumberFormat="1"/>
    <xf numFmtId="0" fontId="2" fillId="3" borderId="3" xfId="0" applyFont="1" applyFill="1" applyBorder="1"/>
    <xf numFmtId="0" fontId="0" fillId="2" borderId="3" xfId="0" applyFill="1" applyBorder="1"/>
    <xf numFmtId="0" fontId="0" fillId="0" borderId="3" xfId="0" applyBorder="1"/>
    <xf numFmtId="0" fontId="0" fillId="0" borderId="1" xfId="0" applyBorder="1"/>
    <xf numFmtId="0" fontId="2" fillId="3" borderId="2" xfId="0" applyFont="1" applyFill="1" applyBorder="1"/>
    <xf numFmtId="0" fontId="0" fillId="2" borderId="2" xfId="0" applyFill="1" applyBorder="1"/>
    <xf numFmtId="0" fontId="0" fillId="0" borderId="2" xfId="0" applyBorder="1"/>
    <xf numFmtId="164" fontId="2" fillId="3" borderId="1" xfId="0" applyNumberFormat="1" applyFont="1" applyFill="1" applyBorder="1"/>
    <xf numFmtId="165" fontId="0" fillId="2" borderId="1" xfId="0" applyNumberFormat="1" applyFill="1" applyBorder="1"/>
    <xf numFmtId="165" fontId="0" fillId="0" borderId="1" xfId="0" applyNumberFormat="1" applyBorder="1"/>
    <xf numFmtId="10" fontId="0" fillId="0" borderId="0" xfId="1" applyNumberFormat="1" applyFont="1"/>
    <xf numFmtId="0" fontId="2" fillId="4" borderId="4" xfId="0" applyFont="1" applyFill="1" applyBorder="1"/>
    <xf numFmtId="0" fontId="2" fillId="4" borderId="5" xfId="0" applyFont="1" applyFill="1" applyBorder="1"/>
    <xf numFmtId="0" fontId="2" fillId="4" borderId="6" xfId="0" applyFont="1" applyFill="1" applyBorder="1"/>
    <xf numFmtId="10" fontId="0" fillId="0" borderId="2" xfId="1" applyNumberFormat="1" applyFont="1" applyBorder="1"/>
    <xf numFmtId="10" fontId="0" fillId="0" borderId="0" xfId="1" applyNumberFormat="1" applyFont="1" applyBorder="1"/>
  </cellXfs>
  <cellStyles count="2">
    <cellStyle name="Normal" xfId="0" builtinId="0"/>
    <cellStyle name="Per cent" xfId="1" builtinId="5"/>
  </cellStyles>
  <dxfs count="18">
    <dxf>
      <border outline="0">
        <bottom style="thick">
          <color theme="0"/>
        </bottom>
      </border>
    </dxf>
    <dxf>
      <font>
        <b/>
        <i val="0"/>
        <strike val="0"/>
        <condense val="0"/>
        <extend val="0"/>
        <outline val="0"/>
        <shadow val="0"/>
        <u val="none"/>
        <vertAlign val="baseline"/>
        <sz val="12"/>
        <color theme="0"/>
        <name val="SegoeUISymbol"/>
        <family val="2"/>
        <scheme val="none"/>
      </font>
      <fill>
        <patternFill patternType="solid">
          <fgColor theme="6"/>
          <bgColor theme="6"/>
        </patternFill>
      </fill>
      <border diagonalUp="0" diagonalDown="0" outline="0">
        <left style="thin">
          <color theme="0"/>
        </left>
        <right style="thin">
          <color theme="0"/>
        </right>
        <top/>
        <bottom/>
      </border>
    </dxf>
    <dxf>
      <numFmt numFmtId="14" formatCode="0.00%"/>
    </dxf>
    <dxf>
      <numFmt numFmtId="0" formatCode="General"/>
    </dxf>
    <dxf>
      <numFmt numFmtId="14" formatCode="0.00%"/>
    </dxf>
    <dxf>
      <numFmt numFmtId="164" formatCode="0.00,,&quot; M&quot;"/>
    </dxf>
    <dxf>
      <numFmt numFmtId="164" formatCode="0.00,,&quot; M&quot;"/>
    </dxf>
    <dxf>
      <numFmt numFmtId="164" formatCode="0.00,,&quot; M&quot;"/>
    </dxf>
    <dxf>
      <numFmt numFmtId="14" formatCode="0.00%"/>
    </dxf>
    <dxf>
      <font>
        <b val="0"/>
        <i val="0"/>
        <strike val="0"/>
        <condense val="0"/>
        <extend val="0"/>
        <outline val="0"/>
        <shadow val="0"/>
        <u val="none"/>
        <vertAlign val="baseline"/>
        <sz val="12"/>
        <color theme="1"/>
        <name val="SegoeUISymbol"/>
        <family val="2"/>
        <scheme val="none"/>
      </font>
      <numFmt numFmtId="14" formatCode="0.00%"/>
    </dxf>
    <dxf>
      <numFmt numFmtId="164" formatCode="0.00,,&quot; M&quot;"/>
    </dxf>
    <dxf>
      <numFmt numFmtId="164" formatCode="0.00,,&quot; M&quot;"/>
    </dxf>
    <dxf>
      <numFmt numFmtId="164" formatCode="0.00,,&quot; M&quot;"/>
    </dxf>
    <dxf>
      <numFmt numFmtId="164" formatCode="0.00,,&quot; M&quot;"/>
    </dxf>
    <dxf>
      <numFmt numFmtId="164" formatCode="0.00,,&quot; M&quot;"/>
    </dxf>
    <dxf>
      <numFmt numFmtId="0" formatCode="General"/>
    </dxf>
    <dxf>
      <numFmt numFmtId="164" formatCode="0.00,,&quot; M&quot;"/>
    </dxf>
    <dxf>
      <numFmt numFmtId="164" formatCode="0.00,,&quot; M&quot;"/>
    </dxf>
  </dxfs>
  <tableStyles count="0" defaultTableStyle="TableStyleMedium2" defaultPivotStyle="PivotStyleLight16"/>
  <colors>
    <mruColors>
      <color rgb="FFA78BFA"/>
      <color rgb="FF6366F1"/>
      <color rgb="FF2563EB"/>
      <color rgb="FFDBEAFE"/>
      <color rgb="FF86EFAC"/>
      <color rgb="FFFF9300"/>
      <color rgb="FFFCD34D"/>
      <color rgb="FFFCA5A5"/>
      <color rgb="FF93C5FD"/>
      <color rgb="FFDCFC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fraudtrend!$B$1</c:f>
              <c:strCache>
                <c:ptCount val="1"/>
                <c:pt idx="0">
                  <c:v>fraud_count</c:v>
                </c:pt>
              </c:strCache>
            </c:strRef>
          </c:tx>
          <c:spPr>
            <a:gradFill flip="none" rotWithShape="1">
              <a:gsLst>
                <a:gs pos="0">
                  <a:srgbClr val="2563EB"/>
                </a:gs>
                <a:gs pos="100000">
                  <a:schemeClr val="accent1">
                    <a:tint val="23500"/>
                    <a:satMod val="160000"/>
                  </a:schemeClr>
                </a:gs>
              </a:gsLst>
              <a:lin ang="5400000" scaled="1"/>
              <a:tileRect/>
            </a:gradFill>
            <a:ln w="9525">
              <a:noFill/>
            </a:ln>
            <a:effectLst>
              <a:glow>
                <a:schemeClr val="accent1"/>
              </a:glo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fraudtrend!$A$2:$A$25</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fraudtrend!$B$2:$B$25</c:f>
              <c:numCache>
                <c:formatCode>General</c:formatCode>
                <c:ptCount val="24"/>
                <c:pt idx="0">
                  <c:v>300</c:v>
                </c:pt>
                <c:pt idx="1">
                  <c:v>358</c:v>
                </c:pt>
                <c:pt idx="2">
                  <c:v>372</c:v>
                </c:pt>
                <c:pt idx="3">
                  <c:v>326</c:v>
                </c:pt>
                <c:pt idx="4">
                  <c:v>274</c:v>
                </c:pt>
                <c:pt idx="5">
                  <c:v>366</c:v>
                </c:pt>
                <c:pt idx="6">
                  <c:v>358</c:v>
                </c:pt>
                <c:pt idx="7">
                  <c:v>328</c:v>
                </c:pt>
                <c:pt idx="8">
                  <c:v>368</c:v>
                </c:pt>
                <c:pt idx="9">
                  <c:v>341</c:v>
                </c:pt>
                <c:pt idx="10">
                  <c:v>375</c:v>
                </c:pt>
                <c:pt idx="11">
                  <c:v>324</c:v>
                </c:pt>
                <c:pt idx="12">
                  <c:v>339</c:v>
                </c:pt>
                <c:pt idx="13">
                  <c:v>346</c:v>
                </c:pt>
                <c:pt idx="14">
                  <c:v>353</c:v>
                </c:pt>
                <c:pt idx="15">
                  <c:v>341</c:v>
                </c:pt>
                <c:pt idx="16">
                  <c:v>345</c:v>
                </c:pt>
                <c:pt idx="17">
                  <c:v>353</c:v>
                </c:pt>
                <c:pt idx="18">
                  <c:v>343</c:v>
                </c:pt>
                <c:pt idx="19">
                  <c:v>342</c:v>
                </c:pt>
                <c:pt idx="20">
                  <c:v>340</c:v>
                </c:pt>
                <c:pt idx="21">
                  <c:v>347</c:v>
                </c:pt>
                <c:pt idx="22">
                  <c:v>351</c:v>
                </c:pt>
                <c:pt idx="23">
                  <c:v>323</c:v>
                </c:pt>
              </c:numCache>
            </c:numRef>
          </c:val>
          <c:extLst>
            <c:ext xmlns:c16="http://schemas.microsoft.com/office/drawing/2014/chart" uri="{C3380CC4-5D6E-409C-BE32-E72D297353CC}">
              <c16:uniqueId val="{00000000-F162-D64A-AE79-2B9DD63B63C9}"/>
            </c:ext>
          </c:extLst>
        </c:ser>
        <c:dLbls>
          <c:showLegendKey val="0"/>
          <c:showVal val="0"/>
          <c:showCatName val="0"/>
          <c:showSerName val="0"/>
          <c:showPercent val="0"/>
          <c:showBubbleSize val="0"/>
        </c:dLbls>
        <c:axId val="90771839"/>
        <c:axId val="90768255"/>
      </c:areaChart>
      <c:catAx>
        <c:axId val="9077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68255"/>
        <c:crosses val="autoZero"/>
        <c:auto val="1"/>
        <c:lblAlgn val="ctr"/>
        <c:lblOffset val="100"/>
        <c:noMultiLvlLbl val="0"/>
      </c:catAx>
      <c:valAx>
        <c:axId val="90768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71839"/>
        <c:crosses val="autoZero"/>
        <c:crossBetween val="midCat"/>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fraudbytype!$C$1</c:f>
              <c:strCache>
                <c:ptCount val="1"/>
                <c:pt idx="0">
                  <c:v>total_fraud_transactions</c:v>
                </c:pt>
              </c:strCache>
            </c:strRef>
          </c:tx>
          <c:spPr>
            <a:gradFill>
              <a:gsLst>
                <a:gs pos="0">
                  <a:srgbClr val="0891B2"/>
                </a:gs>
                <a:gs pos="100000">
                  <a:srgbClr val="22D3EE"/>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fraudbytype!$A$2:$A$6</c:f>
              <c:strCache>
                <c:ptCount val="5"/>
                <c:pt idx="0">
                  <c:v>PAYMENT</c:v>
                </c:pt>
                <c:pt idx="1">
                  <c:v>TRANSFER</c:v>
                </c:pt>
                <c:pt idx="2">
                  <c:v>CASH_OUT</c:v>
                </c:pt>
                <c:pt idx="3">
                  <c:v>DEBIT</c:v>
                </c:pt>
                <c:pt idx="4">
                  <c:v>CASH_IN</c:v>
                </c:pt>
              </c:strCache>
            </c:strRef>
          </c:cat>
          <c:val>
            <c:numRef>
              <c:f>fraudbytype!$C$2:$C$6</c:f>
              <c:numCache>
                <c:formatCode>General</c:formatCode>
                <c:ptCount val="5"/>
                <c:pt idx="0">
                  <c:v>0</c:v>
                </c:pt>
                <c:pt idx="1">
                  <c:v>4097</c:v>
                </c:pt>
                <c:pt idx="2">
                  <c:v>4116</c:v>
                </c:pt>
                <c:pt idx="3">
                  <c:v>0</c:v>
                </c:pt>
                <c:pt idx="4">
                  <c:v>0</c:v>
                </c:pt>
              </c:numCache>
            </c:numRef>
          </c:val>
          <c:extLst>
            <c:ext xmlns:c16="http://schemas.microsoft.com/office/drawing/2014/chart" uri="{C3380CC4-5D6E-409C-BE32-E72D297353CC}">
              <c16:uniqueId val="{00000000-99EC-4B42-8F65-DC3E735A351E}"/>
            </c:ext>
          </c:extLst>
        </c:ser>
        <c:dLbls>
          <c:showLegendKey val="0"/>
          <c:showVal val="0"/>
          <c:showCatName val="0"/>
          <c:showSerName val="0"/>
          <c:showPercent val="0"/>
          <c:showBubbleSize val="0"/>
        </c:dLbls>
        <c:gapWidth val="70"/>
        <c:axId val="89631231"/>
        <c:axId val="90774975"/>
      </c:barChart>
      <c:catAx>
        <c:axId val="8963123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74975"/>
        <c:crosses val="autoZero"/>
        <c:auto val="1"/>
        <c:lblAlgn val="ctr"/>
        <c:lblOffset val="100"/>
        <c:noMultiLvlLbl val="0"/>
      </c:catAx>
      <c:valAx>
        <c:axId val="90774975"/>
        <c:scaling>
          <c:orientation val="minMax"/>
        </c:scaling>
        <c:delete val="0"/>
        <c:axPos val="b"/>
        <c:majorGridlines>
          <c:spPr>
            <a:ln w="9525" cap="flat" cmpd="sng" algn="ctr">
              <a:solidFill>
                <a:schemeClr val="bg1">
                  <a:lumMod val="85000"/>
                  <a:alpha val="33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312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423879408070101"/>
          <c:y val="6.6265060240963861E-2"/>
          <c:w val="0.67983700481019638"/>
          <c:h val="0.79446826676785887"/>
        </c:manualLayout>
      </c:layout>
      <c:barChart>
        <c:barDir val="bar"/>
        <c:grouping val="clustered"/>
        <c:varyColors val="0"/>
        <c:ser>
          <c:idx val="0"/>
          <c:order val="0"/>
          <c:tx>
            <c:strRef>
              <c:f>fraudbytype!$E$1</c:f>
              <c:strCache>
                <c:ptCount val="1"/>
                <c:pt idx="0">
                  <c:v>fraud_loss</c:v>
                </c:pt>
              </c:strCache>
            </c:strRef>
          </c:tx>
          <c:spPr>
            <a:gradFill>
              <a:gsLst>
                <a:gs pos="0">
                  <a:srgbClr val="DC2626"/>
                </a:gs>
                <a:gs pos="100000">
                  <a:srgbClr val="FB7185"/>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fraudbytype!$A$2:$A$6</c:f>
              <c:strCache>
                <c:ptCount val="5"/>
                <c:pt idx="0">
                  <c:v>PAYMENT</c:v>
                </c:pt>
                <c:pt idx="1">
                  <c:v>TRANSFER</c:v>
                </c:pt>
                <c:pt idx="2">
                  <c:v>CASH_OUT</c:v>
                </c:pt>
                <c:pt idx="3">
                  <c:v>DEBIT</c:v>
                </c:pt>
                <c:pt idx="4">
                  <c:v>CASH_IN</c:v>
                </c:pt>
              </c:strCache>
            </c:strRef>
          </c:cat>
          <c:val>
            <c:numRef>
              <c:f>fraudbytype!$E$2:$E$6</c:f>
              <c:numCache>
                <c:formatCode>0.00,," M"</c:formatCode>
                <c:ptCount val="5"/>
                <c:pt idx="0">
                  <c:v>0</c:v>
                </c:pt>
                <c:pt idx="1">
                  <c:v>6067213184.0100002</c:v>
                </c:pt>
                <c:pt idx="2">
                  <c:v>5989202243.8299999</c:v>
                </c:pt>
                <c:pt idx="3">
                  <c:v>0</c:v>
                </c:pt>
                <c:pt idx="4">
                  <c:v>0</c:v>
                </c:pt>
              </c:numCache>
            </c:numRef>
          </c:val>
          <c:extLst>
            <c:ext xmlns:c16="http://schemas.microsoft.com/office/drawing/2014/chart" uri="{C3380CC4-5D6E-409C-BE32-E72D297353CC}">
              <c16:uniqueId val="{00000000-7101-7D48-88C7-8033243F5DD7}"/>
            </c:ext>
          </c:extLst>
        </c:ser>
        <c:dLbls>
          <c:showLegendKey val="0"/>
          <c:showVal val="0"/>
          <c:showCatName val="0"/>
          <c:showSerName val="0"/>
          <c:showPercent val="0"/>
          <c:showBubbleSize val="0"/>
        </c:dLbls>
        <c:gapWidth val="70"/>
        <c:axId val="46731199"/>
        <c:axId val="46739263"/>
      </c:barChart>
      <c:catAx>
        <c:axId val="4673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9263"/>
        <c:crosses val="autoZero"/>
        <c:auto val="1"/>
        <c:lblAlgn val="ctr"/>
        <c:lblOffset val="100"/>
        <c:noMultiLvlLbl val="0"/>
      </c:catAx>
      <c:valAx>
        <c:axId val="46739263"/>
        <c:scaling>
          <c:orientation val="minMax"/>
        </c:scaling>
        <c:delete val="0"/>
        <c:axPos val="b"/>
        <c:majorGridlines>
          <c:spPr>
            <a:ln w="9525" cap="flat" cmpd="sng" algn="ctr">
              <a:solidFill>
                <a:schemeClr val="bg1">
                  <a:lumMod val="85000"/>
                  <a:alpha val="37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1199"/>
        <c:crosses val="autoZero"/>
        <c:crossBetween val="between"/>
        <c:majorUnit val="20000000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fraudbehaviour!$B$6</c:f>
              <c:strCache>
                <c:ptCount val="1"/>
                <c:pt idx="0">
                  <c:v>isFraud</c:v>
                </c:pt>
              </c:strCache>
            </c:strRef>
          </c:tx>
          <c:spPr>
            <a:solidFill>
              <a:schemeClr val="accent1"/>
            </a:solidFill>
            <a:ln>
              <a:noFill/>
            </a:ln>
            <a:effectLst/>
          </c:spPr>
          <c:invertIfNegative val="0"/>
          <c:cat>
            <c:numRef>
              <c:f>fraudbehaviour!$B$7:$B$8</c:f>
              <c:numCache>
                <c:formatCode>General</c:formatCode>
                <c:ptCount val="2"/>
                <c:pt idx="0">
                  <c:v>0</c:v>
                </c:pt>
                <c:pt idx="1">
                  <c:v>1</c:v>
                </c:pt>
              </c:numCache>
            </c:numRef>
          </c:cat>
          <c:val>
            <c:numRef>
              <c:f>fraudbehaviour!$B$7:$B$8</c:f>
              <c:numCache>
                <c:formatCode>General</c:formatCode>
                <c:ptCount val="2"/>
                <c:pt idx="0">
                  <c:v>0</c:v>
                </c:pt>
                <c:pt idx="1">
                  <c:v>1</c:v>
                </c:pt>
              </c:numCache>
            </c:numRef>
          </c:val>
          <c:extLst>
            <c:ext xmlns:c16="http://schemas.microsoft.com/office/drawing/2014/chart" uri="{C3380CC4-5D6E-409C-BE32-E72D297353CC}">
              <c16:uniqueId val="{00000000-DBE3-0044-A949-93BB8B15F4B2}"/>
            </c:ext>
          </c:extLst>
        </c:ser>
        <c:ser>
          <c:idx val="1"/>
          <c:order val="1"/>
          <c:tx>
            <c:strRef>
              <c:f>fraudbehaviour!$C$6</c:f>
              <c:strCache>
                <c:ptCount val="1"/>
                <c:pt idx="0">
                  <c:v>avg_balance_drop_org</c:v>
                </c:pt>
              </c:strCache>
            </c:strRef>
          </c:tx>
          <c:spPr>
            <a:gradFill>
              <a:gsLst>
                <a:gs pos="50000">
                  <a:srgbClr val="6366F1"/>
                </a:gs>
                <a:gs pos="0">
                  <a:srgbClr val="4338CA"/>
                </a:gs>
                <a:gs pos="100000">
                  <a:srgbClr val="A5B4FC"/>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fraudbehaviour!$B$7:$B$8</c:f>
              <c:numCache>
                <c:formatCode>General</c:formatCode>
                <c:ptCount val="2"/>
                <c:pt idx="0">
                  <c:v>0</c:v>
                </c:pt>
                <c:pt idx="1">
                  <c:v>1</c:v>
                </c:pt>
              </c:numCache>
            </c:numRef>
          </c:cat>
          <c:val>
            <c:numRef>
              <c:f>fraudbehaviour!$C$7:$C$8</c:f>
              <c:numCache>
                <c:formatCode>0.000,," M"</c:formatCode>
                <c:ptCount val="2"/>
                <c:pt idx="0">
                  <c:v>23141.516382000002</c:v>
                </c:pt>
                <c:pt idx="1">
                  <c:v>1457274.9738759999</c:v>
                </c:pt>
              </c:numCache>
            </c:numRef>
          </c:val>
          <c:extLst>
            <c:ext xmlns:c16="http://schemas.microsoft.com/office/drawing/2014/chart" uri="{C3380CC4-5D6E-409C-BE32-E72D297353CC}">
              <c16:uniqueId val="{00000001-DBE3-0044-A949-93BB8B15F4B2}"/>
            </c:ext>
          </c:extLst>
        </c:ser>
        <c:dLbls>
          <c:showLegendKey val="0"/>
          <c:showVal val="0"/>
          <c:showCatName val="0"/>
          <c:showSerName val="0"/>
          <c:showPercent val="0"/>
          <c:showBubbleSize val="0"/>
        </c:dLbls>
        <c:gapWidth val="219"/>
        <c:overlap val="-27"/>
        <c:axId val="91097279"/>
        <c:axId val="160089855"/>
      </c:barChart>
      <c:catAx>
        <c:axId val="9109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9855"/>
        <c:crosses val="autoZero"/>
        <c:auto val="1"/>
        <c:lblAlgn val="ctr"/>
        <c:lblOffset val="100"/>
        <c:noMultiLvlLbl val="0"/>
      </c:catAx>
      <c:valAx>
        <c:axId val="160089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9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gradFill>
              <a:gsLst>
                <a:gs pos="0">
                  <a:srgbClr val="DC2626"/>
                </a:gs>
                <a:gs pos="100000">
                  <a:srgbClr val="FB7185"/>
                </a:gs>
              </a:gsLst>
              <a:lin ang="0" scaled="0"/>
            </a:gradFill>
          </c:spPr>
          <c:dPt>
            <c:idx val="0"/>
            <c:bubble3D val="0"/>
            <c:spPr>
              <a:gradFill>
                <a:gsLst>
                  <a:gs pos="0">
                    <a:srgbClr val="DC2626"/>
                  </a:gs>
                  <a:gs pos="100000">
                    <a:srgbClr val="E5E7EB"/>
                  </a:gs>
                </a:gsLst>
                <a:lin ang="0" scaled="0"/>
              </a:gradFill>
              <a:ln w="19050">
                <a:solidFill>
                  <a:schemeClr val="lt1"/>
                </a:solidFill>
              </a:ln>
              <a:effectLst/>
            </c:spPr>
            <c:extLst>
              <c:ext xmlns:c16="http://schemas.microsoft.com/office/drawing/2014/chart" uri="{C3380CC4-5D6E-409C-BE32-E72D297353CC}">
                <c16:uniqueId val="{00000001-7577-1444-81E1-E7B7A096AF67}"/>
              </c:ext>
            </c:extLst>
          </c:dPt>
          <c:dPt>
            <c:idx val="1"/>
            <c:bubble3D val="0"/>
            <c:spPr>
              <a:gradFill>
                <a:gsLst>
                  <a:gs pos="0">
                    <a:srgbClr val="16A34A"/>
                  </a:gs>
                  <a:gs pos="100000">
                    <a:srgbClr val="4ADE80"/>
                  </a:gs>
                </a:gsLst>
                <a:lin ang="0" scaled="0"/>
              </a:gradFill>
              <a:ln w="19050">
                <a:solidFill>
                  <a:schemeClr val="lt1"/>
                </a:solidFill>
              </a:ln>
              <a:effectLst/>
            </c:spPr>
            <c:extLst>
              <c:ext xmlns:c16="http://schemas.microsoft.com/office/drawing/2014/chart" uri="{C3380CC4-5D6E-409C-BE32-E72D297353CC}">
                <c16:uniqueId val="{00000003-7577-1444-81E1-E7B7A096AF67}"/>
              </c:ext>
            </c:extLst>
          </c:dPt>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5439153439153439"/>
                      <c:h val="0.17788819875776396"/>
                    </c:manualLayout>
                  </c15:layout>
                </c:ext>
                <c:ext xmlns:c16="http://schemas.microsoft.com/office/drawing/2014/chart" uri="{C3380CC4-5D6E-409C-BE32-E72D297353CC}">
                  <c16:uniqueId val="{00000003-7577-1444-81E1-E7B7A096AF67}"/>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frauddetection!$F$1:$G$1</c:f>
              <c:strCache>
                <c:ptCount val="2"/>
                <c:pt idx="0">
                  <c:v>detection_rate</c:v>
                </c:pt>
                <c:pt idx="1">
                  <c:v>undetected_rate</c:v>
                </c:pt>
              </c:strCache>
            </c:strRef>
          </c:cat>
          <c:val>
            <c:numRef>
              <c:f>frauddetection!$F$2:$G$2</c:f>
              <c:numCache>
                <c:formatCode>0.00%</c:formatCode>
                <c:ptCount val="2"/>
                <c:pt idx="0">
                  <c:v>1.9481310118105442E-3</c:v>
                </c:pt>
                <c:pt idx="1">
                  <c:v>0.99805186898818943</c:v>
                </c:pt>
              </c:numCache>
            </c:numRef>
          </c:val>
          <c:extLst>
            <c:ext xmlns:c16="http://schemas.microsoft.com/office/drawing/2014/chart" uri="{C3380CC4-5D6E-409C-BE32-E72D297353CC}">
              <c16:uniqueId val="{00000004-7577-1444-81E1-E7B7A096AF6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amountbucket!$B$17</c:f>
              <c:strCache>
                <c:ptCount val="1"/>
                <c:pt idx="0">
                  <c:v>No.of.transactions</c:v>
                </c:pt>
              </c:strCache>
            </c:strRef>
          </c:tx>
          <c:spPr>
            <a:gradFill>
              <a:gsLst>
                <a:gs pos="0">
                  <a:srgbClr val="6366F1"/>
                </a:gs>
                <a:gs pos="100000">
                  <a:srgbClr val="A78BFA"/>
                </a:gs>
              </a:gsLst>
              <a:lin ang="5400000" scaled="1"/>
            </a:gra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amountbucket!$A$18:$A$20</c:f>
              <c:strCache>
                <c:ptCount val="3"/>
                <c:pt idx="0">
                  <c:v>High</c:v>
                </c:pt>
                <c:pt idx="1">
                  <c:v>Medium</c:v>
                </c:pt>
                <c:pt idx="2">
                  <c:v>Low</c:v>
                </c:pt>
              </c:strCache>
            </c:strRef>
          </c:cat>
          <c:val>
            <c:numRef>
              <c:f>amountbucket!$C$18:$C$20</c:f>
              <c:numCache>
                <c:formatCode>0.00%</c:formatCode>
                <c:ptCount val="3"/>
                <c:pt idx="0">
                  <c:v>2.2930072793993775E-3</c:v>
                </c:pt>
                <c:pt idx="1">
                  <c:v>6.3814727403044258E-4</c:v>
                </c:pt>
                <c:pt idx="2">
                  <c:v>1.2386538416982569E-4</c:v>
                </c:pt>
              </c:numCache>
            </c:numRef>
          </c:val>
          <c:extLst>
            <c:ext xmlns:c16="http://schemas.microsoft.com/office/drawing/2014/chart" uri="{C3380CC4-5D6E-409C-BE32-E72D297353CC}">
              <c16:uniqueId val="{00000000-6649-F44A-B3DA-AA9397DBFA6C}"/>
            </c:ext>
          </c:extLst>
        </c:ser>
        <c:ser>
          <c:idx val="1"/>
          <c:order val="1"/>
          <c:tx>
            <c:strRef>
              <c:f>amountbucket!$C$17</c:f>
              <c:strCache>
                <c:ptCount val="1"/>
                <c:pt idx="0">
                  <c:v>Rate</c:v>
                </c:pt>
              </c:strCache>
            </c:strRef>
          </c:tx>
          <c:spPr>
            <a:gradFill>
              <a:gsLst>
                <a:gs pos="0">
                  <a:srgbClr val="6366F1"/>
                </a:gs>
                <a:gs pos="100000">
                  <a:srgbClr val="A78BFA"/>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amountbucket!$F$2:$F$6</c:f>
              <c:numCache>
                <c:formatCode>General</c:formatCode>
                <c:ptCount val="5"/>
              </c:numCache>
            </c:numRef>
          </c:cat>
          <c:val>
            <c:numRef>
              <c:f>amountbucket!$H$2:$H$6</c:f>
              <c:numCache>
                <c:formatCode>General</c:formatCode>
                <c:ptCount val="5"/>
              </c:numCache>
            </c:numRef>
          </c:val>
          <c:extLst>
            <c:ext xmlns:c16="http://schemas.microsoft.com/office/drawing/2014/chart" uri="{C3380CC4-5D6E-409C-BE32-E72D297353CC}">
              <c16:uniqueId val="{00000001-6649-F44A-B3DA-AA9397DBFA6C}"/>
            </c:ext>
          </c:extLst>
        </c:ser>
        <c:dLbls>
          <c:showLegendKey val="0"/>
          <c:showVal val="0"/>
          <c:showCatName val="0"/>
          <c:showSerName val="0"/>
          <c:showPercent val="0"/>
          <c:showBubbleSize val="0"/>
        </c:dLbls>
        <c:gapWidth val="60"/>
        <c:overlap val="-27"/>
        <c:axId val="287929471"/>
        <c:axId val="287921855"/>
      </c:barChart>
      <c:catAx>
        <c:axId val="28792947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Amount</a:t>
                </a:r>
                <a:r>
                  <a:rPr lang="en-GB" b="1" baseline="0"/>
                  <a:t> Bucket</a:t>
                </a:r>
              </a:p>
            </c:rich>
          </c:tx>
          <c:layout>
            <c:manualLayout>
              <c:xMode val="edge"/>
              <c:yMode val="edge"/>
              <c:x val="0.40147936026127773"/>
              <c:y val="0.89488889808496075"/>
            </c:manualLayout>
          </c:layout>
          <c:overlay val="0"/>
          <c:spPr>
            <a:noFill/>
            <a:ln>
              <a:noFill/>
            </a:ln>
            <a:effectLst/>
          </c:sp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921855"/>
        <c:crosses val="autoZero"/>
        <c:auto val="1"/>
        <c:lblAlgn val="ctr"/>
        <c:lblOffset val="100"/>
        <c:noMultiLvlLbl val="0"/>
      </c:catAx>
      <c:valAx>
        <c:axId val="287921855"/>
        <c:scaling>
          <c:orientation val="minMax"/>
        </c:scaling>
        <c:delete val="0"/>
        <c:axPos val="l"/>
        <c:majorGridlines>
          <c:spPr>
            <a:ln w="9525" cap="flat" cmpd="sng" algn="ctr">
              <a:solidFill>
                <a:srgbClr val="E5E7EB">
                  <a:alpha val="50000"/>
                </a:srgb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929471"/>
        <c:crosses val="autoZero"/>
        <c:crossBetween val="between"/>
      </c:valAx>
    </c:plotArea>
    <c:legend>
      <c:legendPos val="r"/>
      <c:legendEntry>
        <c:idx val="0"/>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4</xdr:col>
      <xdr:colOff>63500</xdr:colOff>
      <xdr:row>12</xdr:row>
      <xdr:rowOff>203200</xdr:rowOff>
    </xdr:from>
    <xdr:to>
      <xdr:col>6</xdr:col>
      <xdr:colOff>114300</xdr:colOff>
      <xdr:row>26</xdr:row>
      <xdr:rowOff>3169</xdr:rowOff>
    </xdr:to>
    <mc:AlternateContent xmlns:mc="http://schemas.openxmlformats.org/markup-compatibility/2006" xmlns:sle15="http://schemas.microsoft.com/office/drawing/2012/slicer">
      <mc:Choice Requires="sle15">
        <xdr:graphicFrame macro="">
          <xdr:nvGraphicFramePr>
            <xdr:cNvPr id="6" name="Transaction_type">
              <a:extLst>
                <a:ext uri="{FF2B5EF4-FFF2-40B4-BE49-F238E27FC236}">
                  <a16:creationId xmlns:a16="http://schemas.microsoft.com/office/drawing/2014/main" id="{EFF1B1E7-CFD3-4987-92EE-25BCD286DA75}"/>
                </a:ext>
              </a:extLst>
            </xdr:cNvPr>
            <xdr:cNvGraphicFramePr/>
          </xdr:nvGraphicFramePr>
          <xdr:xfrm>
            <a:off x="0" y="0"/>
            <a:ext cx="0" cy="0"/>
          </xdr:xfrm>
          <a:graphic>
            <a:graphicData uri="http://schemas.microsoft.com/office/drawing/2010/slicer">
              <sle:slicer xmlns:sle="http://schemas.microsoft.com/office/drawing/2010/slicer" name="Transaction_type"/>
            </a:graphicData>
          </a:graphic>
        </xdr:graphicFrame>
      </mc:Choice>
      <mc:Fallback xmlns="">
        <xdr:sp macro="" textlink="">
          <xdr:nvSpPr>
            <xdr:cNvPr id="0" name=""/>
            <xdr:cNvSpPr>
              <a:spLocks noTextEdit="1"/>
            </xdr:cNvSpPr>
          </xdr:nvSpPr>
          <xdr:spPr>
            <a:xfrm>
              <a:off x="6311900" y="2946400"/>
              <a:ext cx="1828800" cy="300036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316578</xdr:colOff>
      <xdr:row>5</xdr:row>
      <xdr:rowOff>128966</xdr:rowOff>
    </xdr:from>
    <xdr:to>
      <xdr:col>19</xdr:col>
      <xdr:colOff>42049</xdr:colOff>
      <xdr:row>41</xdr:row>
      <xdr:rowOff>141938</xdr:rowOff>
    </xdr:to>
    <xdr:sp macro="" textlink="">
      <xdr:nvSpPr>
        <xdr:cNvPr id="2" name="Rounded Rectangle 1">
          <a:extLst>
            <a:ext uri="{FF2B5EF4-FFF2-40B4-BE49-F238E27FC236}">
              <a16:creationId xmlns:a16="http://schemas.microsoft.com/office/drawing/2014/main" id="{D6B0D5C1-E576-EB7F-BEBE-135C5CAAF6A2}"/>
            </a:ext>
          </a:extLst>
        </xdr:cNvPr>
        <xdr:cNvSpPr/>
      </xdr:nvSpPr>
      <xdr:spPr>
        <a:xfrm>
          <a:off x="1964876" y="1277370"/>
          <a:ext cx="13736003" cy="8281483"/>
        </a:xfrm>
        <a:prstGeom prst="roundRect">
          <a:avLst>
            <a:gd name="adj" fmla="val 4598"/>
          </a:avLst>
        </a:prstGeom>
        <a:solidFill>
          <a:srgbClr val="F8FAFC"/>
        </a:solidFill>
        <a:ln>
          <a:solidFill>
            <a:srgbClr val="E5E7EB"/>
          </a:solidFill>
        </a:ln>
        <a:effectLst>
          <a:outerShdw blurRad="228600" dist="25400" dir="5400000" algn="ctr" rotWithShape="0">
            <a:srgbClr val="000000">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c</a:t>
          </a:r>
        </a:p>
      </xdr:txBody>
    </xdr:sp>
    <xdr:clientData/>
  </xdr:twoCellAnchor>
  <xdr:twoCellAnchor>
    <xdr:from>
      <xdr:col>10</xdr:col>
      <xdr:colOff>597711</xdr:colOff>
      <xdr:row>6</xdr:row>
      <xdr:rowOff>153211</xdr:rowOff>
    </xdr:from>
    <xdr:to>
      <xdr:col>18</xdr:col>
      <xdr:colOff>610410</xdr:colOff>
      <xdr:row>17</xdr:row>
      <xdr:rowOff>60078</xdr:rowOff>
    </xdr:to>
    <xdr:sp macro="" textlink="">
      <xdr:nvSpPr>
        <xdr:cNvPr id="18" name="Rounded Rectangle 17">
          <a:extLst>
            <a:ext uri="{FF2B5EF4-FFF2-40B4-BE49-F238E27FC236}">
              <a16:creationId xmlns:a16="http://schemas.microsoft.com/office/drawing/2014/main" id="{9BE41781-5E66-E64E-B672-5A6BBA023265}"/>
            </a:ext>
          </a:extLst>
        </xdr:cNvPr>
        <xdr:cNvSpPr/>
      </xdr:nvSpPr>
      <xdr:spPr>
        <a:xfrm>
          <a:off x="8839200" y="1531296"/>
          <a:ext cx="6605891" cy="2433356"/>
        </a:xfrm>
        <a:prstGeom prst="roundRect">
          <a:avLst>
            <a:gd name="adj" fmla="val 9925"/>
          </a:avLst>
        </a:prstGeom>
        <a:solidFill>
          <a:schemeClr val="bg1"/>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Calibri" panose="020F0502020204030204" pitchFamily="34" charset="0"/>
              <a:cs typeface="Calibri" panose="020F0502020204030204" pitchFamily="34" charset="0"/>
            </a:rPr>
            <a:t>Transaction Volume Trend</a:t>
          </a:r>
          <a:endParaRPr lang="en-GB" sz="12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4</xdr:col>
      <xdr:colOff>775511</xdr:colOff>
      <xdr:row>17</xdr:row>
      <xdr:rowOff>123578</xdr:rowOff>
    </xdr:from>
    <xdr:to>
      <xdr:col>10</xdr:col>
      <xdr:colOff>100101</xdr:colOff>
      <xdr:row>28</xdr:row>
      <xdr:rowOff>143397</xdr:rowOff>
    </xdr:to>
    <xdr:sp macro="" textlink="">
      <xdr:nvSpPr>
        <xdr:cNvPr id="19" name="Rounded Rectangle 18">
          <a:extLst>
            <a:ext uri="{FF2B5EF4-FFF2-40B4-BE49-F238E27FC236}">
              <a16:creationId xmlns:a16="http://schemas.microsoft.com/office/drawing/2014/main" id="{B0AB2630-77CF-C741-9065-72C777C89251}"/>
            </a:ext>
          </a:extLst>
        </xdr:cNvPr>
        <xdr:cNvSpPr/>
      </xdr:nvSpPr>
      <xdr:spPr>
        <a:xfrm>
          <a:off x="4072107" y="4028152"/>
          <a:ext cx="4269483" cy="2546309"/>
        </a:xfrm>
        <a:prstGeom prst="roundRect">
          <a:avLst>
            <a:gd name="adj" fmla="val 9925"/>
          </a:avLst>
        </a:prstGeom>
        <a:solidFill>
          <a:schemeClr val="bg1"/>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tx1"/>
              </a:solidFill>
              <a:latin typeface="Calibri" panose="020F0502020204030204" pitchFamily="34" charset="0"/>
              <a:cs typeface="Calibri" panose="020F0502020204030204" pitchFamily="34" charset="0"/>
            </a:rPr>
            <a:t>Fraud</a:t>
          </a:r>
          <a:r>
            <a:rPr lang="en-IN" b="1" baseline="0">
              <a:solidFill>
                <a:schemeClr val="tx1"/>
              </a:solidFill>
              <a:latin typeface="Calibri" panose="020F0502020204030204" pitchFamily="34" charset="0"/>
              <a:cs typeface="Calibri" panose="020F0502020204030204" pitchFamily="34" charset="0"/>
            </a:rPr>
            <a:t> </a:t>
          </a:r>
          <a:r>
            <a:rPr lang="en-IN" b="1">
              <a:solidFill>
                <a:schemeClr val="tx1"/>
              </a:solidFill>
              <a:latin typeface="Calibri" panose="020F0502020204030204" pitchFamily="34" charset="0"/>
              <a:cs typeface="Calibri" panose="020F0502020204030204" pitchFamily="34" charset="0"/>
            </a:rPr>
            <a:t>Transaction Distribution by Type</a:t>
          </a:r>
          <a:endParaRPr lang="en-GB" sz="11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10</xdr:col>
      <xdr:colOff>215556</xdr:colOff>
      <xdr:row>17</xdr:row>
      <xdr:rowOff>148978</xdr:rowOff>
    </xdr:from>
    <xdr:to>
      <xdr:col>15</xdr:col>
      <xdr:colOff>16396</xdr:colOff>
      <xdr:row>28</xdr:row>
      <xdr:rowOff>172261</xdr:rowOff>
    </xdr:to>
    <xdr:sp macro="" textlink="">
      <xdr:nvSpPr>
        <xdr:cNvPr id="20" name="Rounded Rectangle 19">
          <a:extLst>
            <a:ext uri="{FF2B5EF4-FFF2-40B4-BE49-F238E27FC236}">
              <a16:creationId xmlns:a16="http://schemas.microsoft.com/office/drawing/2014/main" id="{35511F31-3CA0-1049-9A4C-52BF7696CB79}"/>
            </a:ext>
          </a:extLst>
        </xdr:cNvPr>
        <xdr:cNvSpPr/>
      </xdr:nvSpPr>
      <xdr:spPr>
        <a:xfrm>
          <a:off x="8457045" y="4053552"/>
          <a:ext cx="3921585" cy="2549773"/>
        </a:xfrm>
        <a:prstGeom prst="roundRect">
          <a:avLst>
            <a:gd name="adj" fmla="val 9925"/>
          </a:avLst>
        </a:prstGeom>
        <a:solidFill>
          <a:schemeClr val="bg1"/>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tx1"/>
              </a:solidFill>
              <a:latin typeface="Calibri" panose="020F0502020204030204" pitchFamily="34" charset="0"/>
              <a:cs typeface="Calibri" panose="020F0502020204030204" pitchFamily="34" charset="0"/>
            </a:rPr>
            <a:t>Fraud Loss by Transaction Type</a:t>
          </a:r>
          <a:endParaRPr lang="en-GB" sz="11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15</xdr:col>
      <xdr:colOff>110878</xdr:colOff>
      <xdr:row>17</xdr:row>
      <xdr:rowOff>123577</xdr:rowOff>
    </xdr:from>
    <xdr:to>
      <xdr:col>18</xdr:col>
      <xdr:colOff>576352</xdr:colOff>
      <xdr:row>28</xdr:row>
      <xdr:rowOff>172260</xdr:rowOff>
    </xdr:to>
    <xdr:sp macro="" textlink="">
      <xdr:nvSpPr>
        <xdr:cNvPr id="21" name="Rounded Rectangle 20">
          <a:extLst>
            <a:ext uri="{FF2B5EF4-FFF2-40B4-BE49-F238E27FC236}">
              <a16:creationId xmlns:a16="http://schemas.microsoft.com/office/drawing/2014/main" id="{FA3388A7-6E9D-F64D-A2C4-DA4A2CDEE806}"/>
            </a:ext>
          </a:extLst>
        </xdr:cNvPr>
        <xdr:cNvSpPr/>
      </xdr:nvSpPr>
      <xdr:spPr>
        <a:xfrm>
          <a:off x="12473112" y="4028151"/>
          <a:ext cx="2937921" cy="2575173"/>
        </a:xfrm>
        <a:prstGeom prst="roundRect">
          <a:avLst>
            <a:gd name="adj" fmla="val 9925"/>
          </a:avLst>
        </a:prstGeom>
        <a:solidFill>
          <a:schemeClr val="bg1"/>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tx1"/>
              </a:solidFill>
              <a:latin typeface="Calibri" panose="020F0502020204030204" pitchFamily="34" charset="0"/>
              <a:cs typeface="Calibri" panose="020F0502020204030204" pitchFamily="34" charset="0"/>
            </a:rPr>
            <a:t>Fraud Detection Rate</a:t>
          </a:r>
          <a:endParaRPr lang="en-GB" sz="11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4</xdr:col>
      <xdr:colOff>751680</xdr:colOff>
      <xdr:row>29</xdr:row>
      <xdr:rowOff>56806</xdr:rowOff>
    </xdr:from>
    <xdr:to>
      <xdr:col>12</xdr:col>
      <xdr:colOff>16430</xdr:colOff>
      <xdr:row>40</xdr:row>
      <xdr:rowOff>102411</xdr:rowOff>
    </xdr:to>
    <xdr:sp macro="" textlink="">
      <xdr:nvSpPr>
        <xdr:cNvPr id="22" name="Rounded Rectangle 21">
          <a:extLst>
            <a:ext uri="{FF2B5EF4-FFF2-40B4-BE49-F238E27FC236}">
              <a16:creationId xmlns:a16="http://schemas.microsoft.com/office/drawing/2014/main" id="{E4781A8B-032D-574E-9706-5F853CB59FCF}"/>
            </a:ext>
          </a:extLst>
        </xdr:cNvPr>
        <xdr:cNvSpPr/>
      </xdr:nvSpPr>
      <xdr:spPr>
        <a:xfrm>
          <a:off x="4048276" y="6717551"/>
          <a:ext cx="5857941" cy="2572094"/>
        </a:xfrm>
        <a:prstGeom prst="roundRect">
          <a:avLst>
            <a:gd name="adj" fmla="val 9925"/>
          </a:avLst>
        </a:prstGeom>
        <a:solidFill>
          <a:schemeClr val="bg1"/>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tx1"/>
              </a:solidFill>
              <a:latin typeface="Calibri" panose="020F0502020204030204" pitchFamily="34" charset="0"/>
              <a:cs typeface="Calibri" panose="020F0502020204030204" pitchFamily="34" charset="0"/>
            </a:rPr>
            <a:t>Fraud Rate by Transaction Amount Bucket</a:t>
          </a:r>
          <a:endParaRPr lang="en-GB" sz="11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12</xdr:col>
      <xdr:colOff>178610</xdr:colOff>
      <xdr:row>29</xdr:row>
      <xdr:rowOff>74509</xdr:rowOff>
    </xdr:from>
    <xdr:to>
      <xdr:col>18</xdr:col>
      <xdr:colOff>546909</xdr:colOff>
      <xdr:row>40</xdr:row>
      <xdr:rowOff>87210</xdr:rowOff>
    </xdr:to>
    <xdr:sp macro="" textlink="">
      <xdr:nvSpPr>
        <xdr:cNvPr id="23" name="Rounded Rectangle 22">
          <a:extLst>
            <a:ext uri="{FF2B5EF4-FFF2-40B4-BE49-F238E27FC236}">
              <a16:creationId xmlns:a16="http://schemas.microsoft.com/office/drawing/2014/main" id="{8C3F150F-DEDD-484A-B4E1-4BE1F31DC6FB}"/>
            </a:ext>
          </a:extLst>
        </xdr:cNvPr>
        <xdr:cNvSpPr/>
      </xdr:nvSpPr>
      <xdr:spPr>
        <a:xfrm>
          <a:off x="10068397" y="6735254"/>
          <a:ext cx="5313193" cy="2539190"/>
        </a:xfrm>
        <a:prstGeom prst="roundRect">
          <a:avLst>
            <a:gd name="adj" fmla="val 9925"/>
          </a:avLst>
        </a:prstGeom>
        <a:solidFill>
          <a:schemeClr val="bg1"/>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tx1"/>
              </a:solidFill>
              <a:latin typeface="Calibri" panose="020F0502020204030204" pitchFamily="34" charset="0"/>
              <a:cs typeface="Calibri" panose="020F0502020204030204" pitchFamily="34" charset="0"/>
            </a:rPr>
            <a:t>Average Sender Balance Drop by Fraud Status</a:t>
          </a:r>
          <a:endParaRPr lang="en-GB" sz="11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4</xdr:col>
      <xdr:colOff>737410</xdr:colOff>
      <xdr:row>6</xdr:row>
      <xdr:rowOff>165911</xdr:rowOff>
    </xdr:from>
    <xdr:to>
      <xdr:col>7</xdr:col>
      <xdr:colOff>559610</xdr:colOff>
      <xdr:row>11</xdr:row>
      <xdr:rowOff>153211</xdr:rowOff>
    </xdr:to>
    <xdr:sp macro="" textlink="">
      <xdr:nvSpPr>
        <xdr:cNvPr id="14" name="Rounded Rectangle 13">
          <a:extLst>
            <a:ext uri="{FF2B5EF4-FFF2-40B4-BE49-F238E27FC236}">
              <a16:creationId xmlns:a16="http://schemas.microsoft.com/office/drawing/2014/main" id="{FCED09B8-6D22-9341-B4F2-39B7B2D1683C}"/>
            </a:ext>
          </a:extLst>
        </xdr:cNvPr>
        <xdr:cNvSpPr/>
      </xdr:nvSpPr>
      <xdr:spPr>
        <a:xfrm>
          <a:off x="4034006" y="1543996"/>
          <a:ext cx="2294647" cy="1135704"/>
        </a:xfrm>
        <a:prstGeom prst="roundRect">
          <a:avLst>
            <a:gd name="adj" fmla="val 9925"/>
          </a:avLst>
        </a:prstGeom>
        <a:gradFill flip="none" rotWithShape="1">
          <a:gsLst>
            <a:gs pos="0">
              <a:srgbClr val="2563EB"/>
            </a:gs>
            <a:gs pos="50000">
              <a:srgbClr val="83A5EB"/>
            </a:gs>
            <a:gs pos="100000">
              <a:schemeClr val="accent1">
                <a:tint val="23500"/>
                <a:satMod val="160000"/>
              </a:schemeClr>
            </a:gs>
          </a:gsLst>
          <a:lin ang="2400000" scaled="0"/>
          <a:tileRect/>
        </a:gradFill>
        <a:ln w="6350">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686610</xdr:colOff>
      <xdr:row>6</xdr:row>
      <xdr:rowOff>165911</xdr:rowOff>
    </xdr:from>
    <xdr:to>
      <xdr:col>10</xdr:col>
      <xdr:colOff>514398</xdr:colOff>
      <xdr:row>11</xdr:row>
      <xdr:rowOff>153211</xdr:rowOff>
    </xdr:to>
    <xdr:sp macro="" textlink="">
      <xdr:nvSpPr>
        <xdr:cNvPr id="15" name="Rounded Rectangle 14">
          <a:extLst>
            <a:ext uri="{FF2B5EF4-FFF2-40B4-BE49-F238E27FC236}">
              <a16:creationId xmlns:a16="http://schemas.microsoft.com/office/drawing/2014/main" id="{E7D841F2-ED9B-A148-84CD-9495C1DDC95C}"/>
            </a:ext>
          </a:extLst>
        </xdr:cNvPr>
        <xdr:cNvSpPr/>
      </xdr:nvSpPr>
      <xdr:spPr>
        <a:xfrm>
          <a:off x="6455653" y="1543996"/>
          <a:ext cx="2300234" cy="1135704"/>
        </a:xfrm>
        <a:prstGeom prst="roundRect">
          <a:avLst>
            <a:gd name="adj" fmla="val 9925"/>
          </a:avLst>
        </a:prstGeom>
        <a:gradFill>
          <a:gsLst>
            <a:gs pos="0">
              <a:srgbClr val="FF0000"/>
            </a:gs>
            <a:gs pos="0">
              <a:srgbClr val="F07376"/>
            </a:gs>
            <a:gs pos="100000">
              <a:schemeClr val="accent1">
                <a:tint val="23500"/>
                <a:satMod val="160000"/>
              </a:schemeClr>
            </a:gs>
          </a:gsLst>
          <a:lin ang="2400000" scaled="0"/>
        </a:gradFill>
        <a:ln w="6350">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737410</xdr:colOff>
      <xdr:row>12</xdr:row>
      <xdr:rowOff>13511</xdr:rowOff>
    </xdr:from>
    <xdr:to>
      <xdr:col>7</xdr:col>
      <xdr:colOff>556054</xdr:colOff>
      <xdr:row>16</xdr:row>
      <xdr:rowOff>229410</xdr:rowOff>
    </xdr:to>
    <xdr:sp macro="" textlink="">
      <xdr:nvSpPr>
        <xdr:cNvPr id="16" name="Rounded Rectangle 15">
          <a:extLst>
            <a:ext uri="{FF2B5EF4-FFF2-40B4-BE49-F238E27FC236}">
              <a16:creationId xmlns:a16="http://schemas.microsoft.com/office/drawing/2014/main" id="{D83F7595-D9C3-D443-B9C4-7A04BF7527D3}"/>
            </a:ext>
          </a:extLst>
        </xdr:cNvPr>
        <xdr:cNvSpPr/>
      </xdr:nvSpPr>
      <xdr:spPr>
        <a:xfrm>
          <a:off x="4034006" y="2769681"/>
          <a:ext cx="2291091" cy="1134623"/>
        </a:xfrm>
        <a:prstGeom prst="roundRect">
          <a:avLst>
            <a:gd name="adj" fmla="val 9925"/>
          </a:avLst>
        </a:prstGeom>
        <a:gradFill flip="none" rotWithShape="1">
          <a:gsLst>
            <a:gs pos="50000">
              <a:srgbClr val="F4B899"/>
            </a:gs>
            <a:gs pos="0">
              <a:schemeClr val="accent2">
                <a:lumMod val="0"/>
                <a:lumOff val="100000"/>
              </a:schemeClr>
            </a:gs>
            <a:gs pos="100000">
              <a:schemeClr val="accent2">
                <a:lumMod val="100000"/>
              </a:schemeClr>
            </a:gs>
          </a:gsLst>
          <a:lin ang="12600000" scaled="0"/>
          <a:tileRect/>
        </a:gradFill>
        <a:ln w="6350">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684070</xdr:colOff>
      <xdr:row>12</xdr:row>
      <xdr:rowOff>23671</xdr:rowOff>
    </xdr:from>
    <xdr:to>
      <xdr:col>10</xdr:col>
      <xdr:colOff>511858</xdr:colOff>
      <xdr:row>17</xdr:row>
      <xdr:rowOff>9890</xdr:rowOff>
    </xdr:to>
    <xdr:sp macro="" textlink="">
      <xdr:nvSpPr>
        <xdr:cNvPr id="17" name="Rounded Rectangle 16">
          <a:extLst>
            <a:ext uri="{FF2B5EF4-FFF2-40B4-BE49-F238E27FC236}">
              <a16:creationId xmlns:a16="http://schemas.microsoft.com/office/drawing/2014/main" id="{1F1824FC-F588-5341-A427-DF1CF9F92BB3}"/>
            </a:ext>
          </a:extLst>
        </xdr:cNvPr>
        <xdr:cNvSpPr/>
      </xdr:nvSpPr>
      <xdr:spPr>
        <a:xfrm>
          <a:off x="6453113" y="2779841"/>
          <a:ext cx="2300234" cy="1134623"/>
        </a:xfrm>
        <a:prstGeom prst="roundRect">
          <a:avLst>
            <a:gd name="adj" fmla="val 9925"/>
          </a:avLst>
        </a:prstGeom>
        <a:gradFill flip="none" rotWithShape="1">
          <a:gsLst>
            <a:gs pos="0">
              <a:srgbClr val="86EFAC"/>
            </a:gs>
            <a:gs pos="77000">
              <a:srgbClr val="DBEAFE"/>
            </a:gs>
            <a:gs pos="100000">
              <a:schemeClr val="bg1"/>
            </a:gs>
          </a:gsLst>
          <a:lin ang="2400000" scaled="0"/>
          <a:tileRect/>
        </a:gradFill>
        <a:ln w="6350">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824001</xdr:colOff>
      <xdr:row>8</xdr:row>
      <xdr:rowOff>182253</xdr:rowOff>
    </xdr:from>
    <xdr:to>
      <xdr:col>7</xdr:col>
      <xdr:colOff>179187</xdr:colOff>
      <xdr:row>10</xdr:row>
      <xdr:rowOff>102410</xdr:rowOff>
    </xdr:to>
    <xdr:sp macro="" textlink="kpisummary!$A$2">
      <xdr:nvSpPr>
        <xdr:cNvPr id="7" name="TextBox 6">
          <a:extLst>
            <a:ext uri="{FF2B5EF4-FFF2-40B4-BE49-F238E27FC236}">
              <a16:creationId xmlns:a16="http://schemas.microsoft.com/office/drawing/2014/main" id="{2B2E7C8D-6B31-41E2-1C20-CDCE476F3F42}"/>
            </a:ext>
          </a:extLst>
        </xdr:cNvPr>
        <xdr:cNvSpPr txBox="1"/>
      </xdr:nvSpPr>
      <xdr:spPr>
        <a:xfrm>
          <a:off x="4944746" y="2019700"/>
          <a:ext cx="1003484" cy="379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275DF8-8C4B-B044-81CE-174372A76C72}" type="TxLink">
            <a:rPr lang="en-US" sz="1800" b="1" i="0" u="none" strike="noStrike">
              <a:solidFill>
                <a:srgbClr val="000000"/>
              </a:solidFill>
              <a:latin typeface="SegoeUISymbol"/>
            </a:rPr>
            <a:pPr/>
            <a:t>6.36 M</a:t>
          </a:fld>
          <a:endParaRPr lang="en-GB" sz="1600" b="1"/>
        </a:p>
      </xdr:txBody>
    </xdr:sp>
    <xdr:clientData/>
  </xdr:twoCellAnchor>
  <xdr:twoCellAnchor>
    <xdr:from>
      <xdr:col>5</xdr:col>
      <xdr:colOff>89710</xdr:colOff>
      <xdr:row>13</xdr:row>
      <xdr:rowOff>98177</xdr:rowOff>
    </xdr:from>
    <xdr:to>
      <xdr:col>5</xdr:col>
      <xdr:colOff>606177</xdr:colOff>
      <xdr:row>15</xdr:row>
      <xdr:rowOff>115111</xdr:rowOff>
    </xdr:to>
    <xdr:sp macro="" textlink="">
      <xdr:nvSpPr>
        <xdr:cNvPr id="41" name="Rounded Rectangle 40">
          <a:extLst>
            <a:ext uri="{FF2B5EF4-FFF2-40B4-BE49-F238E27FC236}">
              <a16:creationId xmlns:a16="http://schemas.microsoft.com/office/drawing/2014/main" id="{839B2CD5-F464-A44F-8453-E8144E1E5BB3}"/>
            </a:ext>
          </a:extLst>
        </xdr:cNvPr>
        <xdr:cNvSpPr/>
      </xdr:nvSpPr>
      <xdr:spPr>
        <a:xfrm>
          <a:off x="4210455" y="3084028"/>
          <a:ext cx="516467" cy="476296"/>
        </a:xfrm>
        <a:prstGeom prst="roundRect">
          <a:avLst/>
        </a:prstGeom>
        <a:solidFill>
          <a:srgbClr val="FF9300">
            <a:alpha val="60345"/>
          </a:srgbClr>
        </a:solidFill>
        <a:ln>
          <a:solidFill>
            <a:schemeClr val="bg1">
              <a:lumMod val="85000"/>
              <a:alpha val="30000"/>
            </a:schemeClr>
          </a:solidFill>
        </a:ln>
        <a:effectLst>
          <a:glow rad="101600">
            <a:srgbClr val="FF9300">
              <a:alpha val="50000"/>
            </a:srgbClr>
          </a:glow>
          <a:outerShdw blurRad="152400" dist="254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728984</xdr:colOff>
      <xdr:row>8</xdr:row>
      <xdr:rowOff>153191</xdr:rowOff>
    </xdr:from>
    <xdr:to>
      <xdr:col>9</xdr:col>
      <xdr:colOff>802678</xdr:colOff>
      <xdr:row>10</xdr:row>
      <xdr:rowOff>83992</xdr:rowOff>
    </xdr:to>
    <xdr:sp macro="" textlink="kpisummary!$B$2">
      <xdr:nvSpPr>
        <xdr:cNvPr id="9" name="TextBox 8">
          <a:extLst>
            <a:ext uri="{FF2B5EF4-FFF2-40B4-BE49-F238E27FC236}">
              <a16:creationId xmlns:a16="http://schemas.microsoft.com/office/drawing/2014/main" id="{AAE7E949-1168-3543-90F3-784EF8F772A4}"/>
            </a:ext>
          </a:extLst>
        </xdr:cNvPr>
        <xdr:cNvSpPr txBox="1"/>
      </xdr:nvSpPr>
      <xdr:spPr>
        <a:xfrm>
          <a:off x="7322175" y="1990638"/>
          <a:ext cx="897843" cy="390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BF9AB1-6D7F-9540-AA7C-27419D02AF8A}" type="TxLink">
            <a:rPr lang="en-US" sz="1800" b="1" i="0" u="none" strike="noStrike">
              <a:solidFill>
                <a:srgbClr val="DC2626"/>
              </a:solidFill>
              <a:latin typeface="SegoeUISymbol"/>
            </a:rPr>
            <a:pPr/>
            <a:t>8213</a:t>
          </a:fld>
          <a:endParaRPr lang="en-GB" sz="1600" b="1">
            <a:solidFill>
              <a:srgbClr val="DC2626"/>
            </a:solidFill>
          </a:endParaRPr>
        </a:p>
      </xdr:txBody>
    </xdr:sp>
    <xdr:clientData/>
  </xdr:twoCellAnchor>
  <xdr:twoCellAnchor>
    <xdr:from>
      <xdr:col>5</xdr:col>
      <xdr:colOff>822358</xdr:colOff>
      <xdr:row>13</xdr:row>
      <xdr:rowOff>184695</xdr:rowOff>
    </xdr:from>
    <xdr:to>
      <xdr:col>7</xdr:col>
      <xdr:colOff>97881</xdr:colOff>
      <xdr:row>15</xdr:row>
      <xdr:rowOff>121195</xdr:rowOff>
    </xdr:to>
    <xdr:sp macro="" textlink="kpisummary!$C$2">
      <xdr:nvSpPr>
        <xdr:cNvPr id="10" name="TextBox 9">
          <a:extLst>
            <a:ext uri="{FF2B5EF4-FFF2-40B4-BE49-F238E27FC236}">
              <a16:creationId xmlns:a16="http://schemas.microsoft.com/office/drawing/2014/main" id="{DC750A22-5208-304C-B721-D5AFB5B13CAB}"/>
            </a:ext>
          </a:extLst>
        </xdr:cNvPr>
        <xdr:cNvSpPr txBox="1"/>
      </xdr:nvSpPr>
      <xdr:spPr>
        <a:xfrm>
          <a:off x="4943103" y="3170546"/>
          <a:ext cx="923821" cy="395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8A57D6-A364-B548-882C-15AB77C7140D}" type="TxLink">
            <a:rPr lang="en-US" sz="1800" b="1" i="0" u="none" strike="noStrike">
              <a:solidFill>
                <a:srgbClr val="000000"/>
              </a:solidFill>
              <a:latin typeface="SegoeUISymbol"/>
            </a:rPr>
            <a:pPr/>
            <a:t>0.13</a:t>
          </a:fld>
          <a:r>
            <a:rPr lang="en-US" sz="1800" b="1" i="0" u="none" strike="noStrike">
              <a:solidFill>
                <a:srgbClr val="000000"/>
              </a:solidFill>
              <a:latin typeface="SegoeUISymbol"/>
            </a:rPr>
            <a:t> %</a:t>
          </a:r>
          <a:endParaRPr lang="en-GB" sz="1600" b="1"/>
        </a:p>
      </xdr:txBody>
    </xdr:sp>
    <xdr:clientData/>
  </xdr:twoCellAnchor>
  <xdr:twoCellAnchor>
    <xdr:from>
      <xdr:col>8</xdr:col>
      <xdr:colOff>603749</xdr:colOff>
      <xdr:row>13</xdr:row>
      <xdr:rowOff>217777</xdr:rowOff>
    </xdr:from>
    <xdr:to>
      <xdr:col>10</xdr:col>
      <xdr:colOff>526395</xdr:colOff>
      <xdr:row>15</xdr:row>
      <xdr:rowOff>203345</xdr:rowOff>
    </xdr:to>
    <xdr:sp macro="" textlink="kpisummary!$D$2">
      <xdr:nvSpPr>
        <xdr:cNvPr id="11" name="TextBox 10">
          <a:extLst>
            <a:ext uri="{FF2B5EF4-FFF2-40B4-BE49-F238E27FC236}">
              <a16:creationId xmlns:a16="http://schemas.microsoft.com/office/drawing/2014/main" id="{7A48C7D8-8D7A-3447-BA46-CACD6FCA88B5}"/>
            </a:ext>
          </a:extLst>
        </xdr:cNvPr>
        <xdr:cNvSpPr txBox="1"/>
      </xdr:nvSpPr>
      <xdr:spPr>
        <a:xfrm>
          <a:off x="7196940" y="3203628"/>
          <a:ext cx="1570944" cy="444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A35DA1-DF06-3E43-A184-71014E59511C}" type="TxLink">
            <a:rPr lang="en-US" sz="1800" b="1" i="0" u="none" strike="noStrike">
              <a:solidFill>
                <a:srgbClr val="000000"/>
              </a:solidFill>
              <a:latin typeface="SegoeUISymbol"/>
            </a:rPr>
            <a:pPr/>
            <a:t>12056.42 M</a:t>
          </a:fld>
          <a:endParaRPr lang="en-GB" sz="1600" b="1"/>
        </a:p>
      </xdr:txBody>
    </xdr:sp>
    <xdr:clientData/>
  </xdr:twoCellAnchor>
  <xdr:twoCellAnchor>
    <xdr:from>
      <xdr:col>10</xdr:col>
      <xdr:colOff>814765</xdr:colOff>
      <xdr:row>8</xdr:row>
      <xdr:rowOff>10698</xdr:rowOff>
    </xdr:from>
    <xdr:to>
      <xdr:col>18</xdr:col>
      <xdr:colOff>500151</xdr:colOff>
      <xdr:row>17</xdr:row>
      <xdr:rowOff>90288</xdr:rowOff>
    </xdr:to>
    <xdr:graphicFrame macro="">
      <xdr:nvGraphicFramePr>
        <xdr:cNvPr id="3" name="Chart 2">
          <a:extLst>
            <a:ext uri="{FF2B5EF4-FFF2-40B4-BE49-F238E27FC236}">
              <a16:creationId xmlns:a16="http://schemas.microsoft.com/office/drawing/2014/main" id="{984E9D41-1F30-8840-9175-D42AE2976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504769</xdr:colOff>
      <xdr:row>6</xdr:row>
      <xdr:rowOff>156675</xdr:rowOff>
    </xdr:from>
    <xdr:to>
      <xdr:col>4</xdr:col>
      <xdr:colOff>593669</xdr:colOff>
      <xdr:row>40</xdr:row>
      <xdr:rowOff>131275</xdr:rowOff>
    </xdr:to>
    <xdr:sp macro="" textlink="">
      <xdr:nvSpPr>
        <xdr:cNvPr id="4" name="Rounded Rectangle 3">
          <a:extLst>
            <a:ext uri="{FF2B5EF4-FFF2-40B4-BE49-F238E27FC236}">
              <a16:creationId xmlns:a16="http://schemas.microsoft.com/office/drawing/2014/main" id="{833D7BDB-7CFC-5426-AC33-ABF59049CF4A}"/>
            </a:ext>
          </a:extLst>
        </xdr:cNvPr>
        <xdr:cNvSpPr/>
      </xdr:nvSpPr>
      <xdr:spPr>
        <a:xfrm>
          <a:off x="2153067" y="1534760"/>
          <a:ext cx="1737198" cy="7783749"/>
        </a:xfrm>
        <a:prstGeom prst="roundRect">
          <a:avLst/>
        </a:prstGeom>
        <a:no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143397</xdr:colOff>
      <xdr:row>19</xdr:row>
      <xdr:rowOff>81245</xdr:rowOff>
    </xdr:from>
    <xdr:to>
      <xdr:col>10</xdr:col>
      <xdr:colOff>17744</xdr:colOff>
      <xdr:row>27</xdr:row>
      <xdr:rowOff>215556</xdr:rowOff>
    </xdr:to>
    <xdr:graphicFrame macro="">
      <xdr:nvGraphicFramePr>
        <xdr:cNvPr id="5" name="Chart 4">
          <a:extLst>
            <a:ext uri="{FF2B5EF4-FFF2-40B4-BE49-F238E27FC236}">
              <a16:creationId xmlns:a16="http://schemas.microsoft.com/office/drawing/2014/main" id="{0CCCF7AC-10A6-9142-899F-E8D33BAA7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425683</xdr:colOff>
      <xdr:row>19</xdr:row>
      <xdr:rowOff>18513</xdr:rowOff>
    </xdr:from>
    <xdr:to>
      <xdr:col>14</xdr:col>
      <xdr:colOff>561919</xdr:colOff>
      <xdr:row>28</xdr:row>
      <xdr:rowOff>27942</xdr:rowOff>
    </xdr:to>
    <xdr:graphicFrame macro="">
      <xdr:nvGraphicFramePr>
        <xdr:cNvPr id="6" name="Chart 5">
          <a:extLst>
            <a:ext uri="{FF2B5EF4-FFF2-40B4-BE49-F238E27FC236}">
              <a16:creationId xmlns:a16="http://schemas.microsoft.com/office/drawing/2014/main" id="{11F24815-37D8-DB41-8B9E-22627464B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793596</xdr:colOff>
      <xdr:row>30</xdr:row>
      <xdr:rowOff>206705</xdr:rowOff>
    </xdr:from>
    <xdr:to>
      <xdr:col>18</xdr:col>
      <xdr:colOff>331010</xdr:colOff>
      <xdr:row>40</xdr:row>
      <xdr:rowOff>134739</xdr:rowOff>
    </xdr:to>
    <xdr:graphicFrame macro="">
      <xdr:nvGraphicFramePr>
        <xdr:cNvPr id="12" name="Chart 11">
          <a:extLst>
            <a:ext uri="{FF2B5EF4-FFF2-40B4-BE49-F238E27FC236}">
              <a16:creationId xmlns:a16="http://schemas.microsoft.com/office/drawing/2014/main" id="{B5E9A05A-7983-F04C-A59A-67130E569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796293</xdr:colOff>
      <xdr:row>7</xdr:row>
      <xdr:rowOff>128211</xdr:rowOff>
    </xdr:from>
    <xdr:to>
      <xdr:col>7</xdr:col>
      <xdr:colOff>432034</xdr:colOff>
      <xdr:row>8</xdr:row>
      <xdr:rowOff>191134</xdr:rowOff>
    </xdr:to>
    <xdr:sp macro="" textlink="">
      <xdr:nvSpPr>
        <xdr:cNvPr id="24" name="TextBox 23">
          <a:extLst>
            <a:ext uri="{FF2B5EF4-FFF2-40B4-BE49-F238E27FC236}">
              <a16:creationId xmlns:a16="http://schemas.microsoft.com/office/drawing/2014/main" id="{AFD891C3-FBB4-4449-AFC5-7A4F58B4C835}"/>
            </a:ext>
          </a:extLst>
        </xdr:cNvPr>
        <xdr:cNvSpPr txBox="1"/>
      </xdr:nvSpPr>
      <xdr:spPr>
        <a:xfrm>
          <a:off x="4917038" y="1735977"/>
          <a:ext cx="1284039" cy="292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rgbClr val="000000"/>
              </a:solidFill>
              <a:latin typeface="SegoeUISymbol"/>
            </a:rPr>
            <a:t>Total</a:t>
          </a:r>
          <a:r>
            <a:rPr lang="en-US" sz="1000" b="0" i="0" u="none" strike="noStrike" baseline="0">
              <a:solidFill>
                <a:srgbClr val="000000"/>
              </a:solidFill>
              <a:latin typeface="SegoeUISymbol"/>
            </a:rPr>
            <a:t> Transactions</a:t>
          </a:r>
          <a:endParaRPr lang="en-US" sz="1000" b="0" i="0" u="none" strike="noStrike">
            <a:solidFill>
              <a:srgbClr val="000000"/>
            </a:solidFill>
            <a:latin typeface="SegoeUISymbol"/>
          </a:endParaRPr>
        </a:p>
      </xdr:txBody>
    </xdr:sp>
    <xdr:clientData/>
  </xdr:twoCellAnchor>
  <xdr:twoCellAnchor>
    <xdr:from>
      <xdr:col>8</xdr:col>
      <xdr:colOff>728751</xdr:colOff>
      <xdr:row>7</xdr:row>
      <xdr:rowOff>109339</xdr:rowOff>
    </xdr:from>
    <xdr:to>
      <xdr:col>10</xdr:col>
      <xdr:colOff>639851</xdr:colOff>
      <xdr:row>8</xdr:row>
      <xdr:rowOff>147439</xdr:rowOff>
    </xdr:to>
    <xdr:sp macro="" textlink="">
      <xdr:nvSpPr>
        <xdr:cNvPr id="25" name="TextBox 24">
          <a:extLst>
            <a:ext uri="{FF2B5EF4-FFF2-40B4-BE49-F238E27FC236}">
              <a16:creationId xmlns:a16="http://schemas.microsoft.com/office/drawing/2014/main" id="{BF05FA53-F4FF-DE46-9DD3-5F83BF754AB8}"/>
            </a:ext>
          </a:extLst>
        </xdr:cNvPr>
        <xdr:cNvSpPr txBox="1"/>
      </xdr:nvSpPr>
      <xdr:spPr>
        <a:xfrm>
          <a:off x="7321942" y="1717105"/>
          <a:ext cx="1559398" cy="267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rgbClr val="000000"/>
              </a:solidFill>
              <a:latin typeface="SegoeUISymbol"/>
            </a:rPr>
            <a:t>Fraud</a:t>
          </a:r>
          <a:r>
            <a:rPr lang="en-US" sz="1000" b="0" i="0" u="none" strike="noStrike" baseline="0">
              <a:solidFill>
                <a:srgbClr val="000000"/>
              </a:solidFill>
              <a:latin typeface="SegoeUISymbol"/>
            </a:rPr>
            <a:t> Transactions</a:t>
          </a:r>
          <a:endParaRPr lang="en-US" sz="1000" b="0" i="0" u="none" strike="noStrike">
            <a:solidFill>
              <a:srgbClr val="000000"/>
            </a:solidFill>
            <a:latin typeface="SegoeUISymbol"/>
          </a:endParaRPr>
        </a:p>
      </xdr:txBody>
    </xdr:sp>
    <xdr:clientData/>
  </xdr:twoCellAnchor>
  <xdr:twoCellAnchor>
    <xdr:from>
      <xdr:col>5</xdr:col>
      <xdr:colOff>788210</xdr:colOff>
      <xdr:row>12</xdr:row>
      <xdr:rowOff>155698</xdr:rowOff>
    </xdr:from>
    <xdr:to>
      <xdr:col>7</xdr:col>
      <xdr:colOff>305610</xdr:colOff>
      <xdr:row>13</xdr:row>
      <xdr:rowOff>206498</xdr:rowOff>
    </xdr:to>
    <xdr:sp macro="" textlink="">
      <xdr:nvSpPr>
        <xdr:cNvPr id="26" name="TextBox 25">
          <a:extLst>
            <a:ext uri="{FF2B5EF4-FFF2-40B4-BE49-F238E27FC236}">
              <a16:creationId xmlns:a16="http://schemas.microsoft.com/office/drawing/2014/main" id="{39CCDED9-D3D6-2D48-8F8B-23BDF0030617}"/>
            </a:ext>
          </a:extLst>
        </xdr:cNvPr>
        <xdr:cNvSpPr txBox="1"/>
      </xdr:nvSpPr>
      <xdr:spPr>
        <a:xfrm>
          <a:off x="4908955" y="2911868"/>
          <a:ext cx="1165698" cy="280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rgbClr val="000000"/>
              </a:solidFill>
              <a:latin typeface="SegoeUISymbol"/>
            </a:rPr>
            <a:t>Fraud</a:t>
          </a:r>
          <a:r>
            <a:rPr lang="en-US" sz="1000" b="0" i="0" u="none" strike="noStrike" baseline="0">
              <a:solidFill>
                <a:srgbClr val="000000"/>
              </a:solidFill>
              <a:latin typeface="SegoeUISymbol"/>
            </a:rPr>
            <a:t> Rate %</a:t>
          </a:r>
          <a:endParaRPr lang="en-US" sz="1000" b="0" i="0" u="none" strike="noStrike">
            <a:solidFill>
              <a:srgbClr val="000000"/>
            </a:solidFill>
            <a:latin typeface="SegoeUISymbol"/>
          </a:endParaRPr>
        </a:p>
      </xdr:txBody>
    </xdr:sp>
    <xdr:clientData/>
  </xdr:twoCellAnchor>
  <xdr:twoCellAnchor>
    <xdr:from>
      <xdr:col>8</xdr:col>
      <xdr:colOff>667516</xdr:colOff>
      <xdr:row>12</xdr:row>
      <xdr:rowOff>120173</xdr:rowOff>
    </xdr:from>
    <xdr:to>
      <xdr:col>10</xdr:col>
      <xdr:colOff>362716</xdr:colOff>
      <xdr:row>13</xdr:row>
      <xdr:rowOff>158273</xdr:rowOff>
    </xdr:to>
    <xdr:sp macro="" textlink="">
      <xdr:nvSpPr>
        <xdr:cNvPr id="27" name="TextBox 26">
          <a:extLst>
            <a:ext uri="{FF2B5EF4-FFF2-40B4-BE49-F238E27FC236}">
              <a16:creationId xmlns:a16="http://schemas.microsoft.com/office/drawing/2014/main" id="{B2383C11-1B3A-3D4D-8B55-C0410644C6DA}"/>
            </a:ext>
          </a:extLst>
        </xdr:cNvPr>
        <xdr:cNvSpPr txBox="1"/>
      </xdr:nvSpPr>
      <xdr:spPr>
        <a:xfrm>
          <a:off x="7260707" y="2876343"/>
          <a:ext cx="1343498" cy="267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rgbClr val="000000"/>
              </a:solidFill>
              <a:latin typeface="SegoeUISymbol"/>
            </a:rPr>
            <a:t>Total</a:t>
          </a:r>
          <a:r>
            <a:rPr lang="en-US" sz="1000" b="0" i="0" u="none" strike="noStrike" baseline="0">
              <a:solidFill>
                <a:srgbClr val="000000"/>
              </a:solidFill>
              <a:latin typeface="SegoeUISymbol"/>
            </a:rPr>
            <a:t> Fraud Loss</a:t>
          </a:r>
          <a:endParaRPr lang="en-US" sz="1000" b="0" i="0" u="none" strike="noStrike">
            <a:solidFill>
              <a:srgbClr val="000000"/>
            </a:solidFill>
            <a:latin typeface="SegoeUISymbol"/>
          </a:endParaRPr>
        </a:p>
      </xdr:txBody>
    </xdr:sp>
    <xdr:clientData/>
  </xdr:twoCellAnchor>
  <xdr:twoCellAnchor>
    <xdr:from>
      <xdr:col>15</xdr:col>
      <xdr:colOff>140511</xdr:colOff>
      <xdr:row>19</xdr:row>
      <xdr:rowOff>42375</xdr:rowOff>
    </xdr:from>
    <xdr:to>
      <xdr:col>18</xdr:col>
      <xdr:colOff>483411</xdr:colOff>
      <xdr:row>28</xdr:row>
      <xdr:rowOff>100100</xdr:rowOff>
    </xdr:to>
    <xdr:graphicFrame macro="">
      <xdr:nvGraphicFramePr>
        <xdr:cNvPr id="28" name="Chart 27">
          <a:extLst>
            <a:ext uri="{FF2B5EF4-FFF2-40B4-BE49-F238E27FC236}">
              <a16:creationId xmlns:a16="http://schemas.microsoft.com/office/drawing/2014/main" id="{03381872-29F7-224A-A871-192DCEC1B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xdr:col>
      <xdr:colOff>678191</xdr:colOff>
      <xdr:row>16</xdr:row>
      <xdr:rowOff>13510</xdr:rowOff>
    </xdr:from>
    <xdr:to>
      <xdr:col>4</xdr:col>
      <xdr:colOff>398791</xdr:colOff>
      <xdr:row>25</xdr:row>
      <xdr:rowOff>41548</xdr:rowOff>
    </xdr:to>
    <mc:AlternateContent xmlns:mc="http://schemas.openxmlformats.org/markup-compatibility/2006">
      <mc:Choice xmlns:sle15="http://schemas.microsoft.com/office/drawing/2012/slicer" Requires="sle15">
        <xdr:graphicFrame macro="">
          <xdr:nvGraphicFramePr>
            <xdr:cNvPr id="29" name="Transaction_type 1">
              <a:extLst>
                <a:ext uri="{FF2B5EF4-FFF2-40B4-BE49-F238E27FC236}">
                  <a16:creationId xmlns:a16="http://schemas.microsoft.com/office/drawing/2014/main" id="{90D32F4B-1689-9541-A440-E43B9490B729}"/>
                </a:ext>
              </a:extLst>
            </xdr:cNvPr>
            <xdr:cNvGraphicFramePr/>
          </xdr:nvGraphicFramePr>
          <xdr:xfrm>
            <a:off x="0" y="0"/>
            <a:ext cx="0" cy="0"/>
          </xdr:xfrm>
          <a:graphic>
            <a:graphicData uri="http://schemas.microsoft.com/office/drawing/2010/slicer">
              <sle:slicer xmlns:sle="http://schemas.microsoft.com/office/drawing/2010/slicer" name="Transaction_type 1"/>
            </a:graphicData>
          </a:graphic>
        </xdr:graphicFrame>
      </mc:Choice>
      <mc:Fallback>
        <xdr:sp macro="" textlink="">
          <xdr:nvSpPr>
            <xdr:cNvPr id="0" name=""/>
            <xdr:cNvSpPr>
              <a:spLocks noTextEdit="1"/>
            </xdr:cNvSpPr>
          </xdr:nvSpPr>
          <xdr:spPr>
            <a:xfrm>
              <a:off x="2333472" y="3666544"/>
              <a:ext cx="1375881" cy="208286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64310</xdr:colOff>
      <xdr:row>7</xdr:row>
      <xdr:rowOff>225178</xdr:rowOff>
    </xdr:from>
    <xdr:to>
      <xdr:col>5</xdr:col>
      <xdr:colOff>580777</xdr:colOff>
      <xdr:row>10</xdr:row>
      <xdr:rowOff>13511</xdr:rowOff>
    </xdr:to>
    <xdr:sp macro="" textlink="">
      <xdr:nvSpPr>
        <xdr:cNvPr id="38" name="Rounded Rectangle 37">
          <a:extLst>
            <a:ext uri="{FF2B5EF4-FFF2-40B4-BE49-F238E27FC236}">
              <a16:creationId xmlns:a16="http://schemas.microsoft.com/office/drawing/2014/main" id="{4A613C2B-91C8-D14A-A7CF-7737FCE52DE1}"/>
            </a:ext>
          </a:extLst>
        </xdr:cNvPr>
        <xdr:cNvSpPr/>
      </xdr:nvSpPr>
      <xdr:spPr>
        <a:xfrm>
          <a:off x="4185055" y="1832944"/>
          <a:ext cx="516467" cy="477376"/>
        </a:xfrm>
        <a:prstGeom prst="roundRect">
          <a:avLst/>
        </a:prstGeom>
        <a:solidFill>
          <a:srgbClr val="DBEAFE"/>
        </a:solidFill>
        <a:ln>
          <a:solidFill>
            <a:schemeClr val="bg1">
              <a:lumMod val="85000"/>
              <a:alpha val="30000"/>
            </a:schemeClr>
          </a:solidFill>
        </a:ln>
        <a:effectLst>
          <a:glow rad="101600">
            <a:srgbClr val="93C5FD">
              <a:alpha val="50000"/>
            </a:srgbClr>
          </a:glow>
          <a:outerShdw blurRad="152400" dist="254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148798</xdr:colOff>
      <xdr:row>8</xdr:row>
      <xdr:rowOff>29469</xdr:rowOff>
    </xdr:from>
    <xdr:to>
      <xdr:col>6</xdr:col>
      <xdr:colOff>376050</xdr:colOff>
      <xdr:row>10</xdr:row>
      <xdr:rowOff>15037</xdr:rowOff>
    </xdr:to>
    <xdr:sp macro="" textlink="">
      <xdr:nvSpPr>
        <xdr:cNvPr id="3074" name="Text Box 2">
          <a:extLst>
            <a:ext uri="{FF2B5EF4-FFF2-40B4-BE49-F238E27FC236}">
              <a16:creationId xmlns:a16="http://schemas.microsoft.com/office/drawing/2014/main" id="{673E0441-FE64-6419-B9AB-29B98FDD1C67}"/>
            </a:ext>
          </a:extLst>
        </xdr:cNvPr>
        <xdr:cNvSpPr txBox="1">
          <a:spLocks noChangeArrowheads="1"/>
        </xdr:cNvSpPr>
      </xdr:nvSpPr>
      <xdr:spPr bwMode="auto">
        <a:xfrm>
          <a:off x="4269543" y="1866916"/>
          <a:ext cx="1051401" cy="444930"/>
        </a:xfrm>
        <a:prstGeom prst="rect">
          <a:avLst/>
        </a:prstGeom>
        <a:noFill/>
        <a:ln w="9525">
          <a:noFill/>
          <a:miter lim="800000"/>
          <a:headEnd/>
          <a:tailEnd/>
        </a:ln>
        <a:effectLst/>
      </xdr:spPr>
      <xdr:txBody>
        <a:bodyPr vertOverflow="clip" wrap="square" lIns="27432" tIns="27432"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GB" sz="2400" b="0" i="0" u="none" strike="noStrike" baseline="0">
              <a:solidFill>
                <a:srgbClr val="000000"/>
              </a:solidFill>
              <a:latin typeface="SegoeUISymbol" pitchFamily="2" charset="0"/>
            </a:rPr>
            <a:t>💳</a:t>
          </a:r>
        </a:p>
        <a:p>
          <a:pPr algn="l" rtl="0">
            <a:defRPr sz="1000"/>
          </a:pPr>
          <a:endParaRPr lang="en-GB" sz="2400" b="0" i="0" u="none" strike="noStrike" baseline="0">
            <a:solidFill>
              <a:srgbClr val="000000"/>
            </a:solidFill>
            <a:latin typeface="SegoeUISymbol" pitchFamily="2" charset="0"/>
          </a:endParaRPr>
        </a:p>
      </xdr:txBody>
    </xdr:sp>
    <xdr:clientData/>
  </xdr:twoCellAnchor>
  <xdr:twoCellAnchor>
    <xdr:from>
      <xdr:col>7</xdr:col>
      <xdr:colOff>817844</xdr:colOff>
      <xdr:row>8</xdr:row>
      <xdr:rowOff>3963</xdr:rowOff>
    </xdr:from>
    <xdr:to>
      <xdr:col>8</xdr:col>
      <xdr:colOff>504577</xdr:colOff>
      <xdr:row>10</xdr:row>
      <xdr:rowOff>21977</xdr:rowOff>
    </xdr:to>
    <xdr:sp macro="" textlink="">
      <xdr:nvSpPr>
        <xdr:cNvPr id="39" name="Rounded Rectangle 38">
          <a:extLst>
            <a:ext uri="{FF2B5EF4-FFF2-40B4-BE49-F238E27FC236}">
              <a16:creationId xmlns:a16="http://schemas.microsoft.com/office/drawing/2014/main" id="{CBCE3B57-BF9D-CC4C-8323-73765486FF7C}"/>
            </a:ext>
          </a:extLst>
        </xdr:cNvPr>
        <xdr:cNvSpPr/>
      </xdr:nvSpPr>
      <xdr:spPr>
        <a:xfrm>
          <a:off x="6586887" y="1841410"/>
          <a:ext cx="510881" cy="477376"/>
        </a:xfrm>
        <a:prstGeom prst="roundRect">
          <a:avLst/>
        </a:prstGeom>
        <a:solidFill>
          <a:srgbClr val="FEE2E2"/>
        </a:solidFill>
        <a:ln>
          <a:solidFill>
            <a:schemeClr val="bg1">
              <a:lumMod val="85000"/>
              <a:alpha val="30000"/>
            </a:schemeClr>
          </a:solidFill>
        </a:ln>
        <a:effectLst>
          <a:glow rad="101600">
            <a:srgbClr val="C00000">
              <a:alpha val="50000"/>
            </a:srgbClr>
          </a:glow>
          <a:outerShdw blurRad="152400" dist="254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6425</xdr:colOff>
      <xdr:row>13</xdr:row>
      <xdr:rowOff>72777</xdr:rowOff>
    </xdr:from>
    <xdr:to>
      <xdr:col>8</xdr:col>
      <xdr:colOff>521096</xdr:colOff>
      <xdr:row>15</xdr:row>
      <xdr:rowOff>89711</xdr:rowOff>
    </xdr:to>
    <xdr:sp macro="" textlink="">
      <xdr:nvSpPr>
        <xdr:cNvPr id="40" name="Rounded Rectangle 39">
          <a:extLst>
            <a:ext uri="{FF2B5EF4-FFF2-40B4-BE49-F238E27FC236}">
              <a16:creationId xmlns:a16="http://schemas.microsoft.com/office/drawing/2014/main" id="{F2F36A9F-E618-A04F-BFB3-E8E8B4E0EA0A}"/>
            </a:ext>
          </a:extLst>
        </xdr:cNvPr>
        <xdr:cNvSpPr/>
      </xdr:nvSpPr>
      <xdr:spPr>
        <a:xfrm>
          <a:off x="6599616" y="3058628"/>
          <a:ext cx="514671" cy="476296"/>
        </a:xfrm>
        <a:prstGeom prst="roundRect">
          <a:avLst/>
        </a:prstGeom>
        <a:solidFill>
          <a:srgbClr val="DCFCE7"/>
        </a:solidFill>
        <a:ln>
          <a:solidFill>
            <a:schemeClr val="bg1">
              <a:lumMod val="85000"/>
              <a:alpha val="30000"/>
            </a:schemeClr>
          </a:solidFill>
        </a:ln>
        <a:effectLst>
          <a:glow rad="101600">
            <a:srgbClr val="86EFAC">
              <a:alpha val="50000"/>
            </a:srgbClr>
          </a:glow>
          <a:outerShdw blurRad="152400" dist="254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57385</xdr:colOff>
      <xdr:row>8</xdr:row>
      <xdr:rowOff>46991</xdr:rowOff>
    </xdr:from>
    <xdr:to>
      <xdr:col>9</xdr:col>
      <xdr:colOff>121460</xdr:colOff>
      <xdr:row>10</xdr:row>
      <xdr:rowOff>111069</xdr:rowOff>
    </xdr:to>
    <xdr:sp macro="" textlink="">
      <xdr:nvSpPr>
        <xdr:cNvPr id="34" name="Text Box 2">
          <a:extLst>
            <a:ext uri="{FF2B5EF4-FFF2-40B4-BE49-F238E27FC236}">
              <a16:creationId xmlns:a16="http://schemas.microsoft.com/office/drawing/2014/main" id="{A535B83B-E56F-9D46-BB41-2840C1E91487}"/>
            </a:ext>
          </a:extLst>
        </xdr:cNvPr>
        <xdr:cNvSpPr txBox="1">
          <a:spLocks noChangeArrowheads="1"/>
        </xdr:cNvSpPr>
      </xdr:nvSpPr>
      <xdr:spPr bwMode="auto">
        <a:xfrm>
          <a:off x="6650576" y="1884438"/>
          <a:ext cx="888224" cy="523440"/>
        </a:xfrm>
        <a:prstGeom prst="rect">
          <a:avLst/>
        </a:prstGeom>
        <a:noFill/>
        <a:ln w="9525">
          <a:noFill/>
          <a:miter lim="800000"/>
          <a:headEnd/>
          <a:tailEnd/>
        </a:ln>
        <a:effectLst>
          <a:glow rad="127000">
            <a:srgbClr val="FEE2E2"/>
          </a:glow>
        </a:effectLst>
      </xdr:spPr>
      <xdr:txBody>
        <a:bodyPr vertOverflow="clip" wrap="square" lIns="27432" tIns="27432"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GB" sz="2400" b="0" i="0" u="none" strike="noStrike" baseline="0">
              <a:solidFill>
                <a:srgbClr val="000000"/>
              </a:solidFill>
              <a:latin typeface="SegoeUISymbol" pitchFamily="2" charset="0"/>
            </a:rPr>
            <a:t>🚨</a:t>
          </a:r>
        </a:p>
        <a:p>
          <a:pPr algn="l" rtl="0">
            <a:defRPr sz="1000"/>
          </a:pPr>
          <a:endParaRPr lang="en-GB" sz="2400" b="0" i="0" u="none" strike="noStrike" baseline="0">
            <a:solidFill>
              <a:srgbClr val="000000"/>
            </a:solidFill>
            <a:latin typeface="SegoeUISymbol" pitchFamily="2" charset="0"/>
          </a:endParaRPr>
        </a:p>
      </xdr:txBody>
    </xdr:sp>
    <xdr:clientData/>
  </xdr:twoCellAnchor>
  <xdr:twoCellAnchor>
    <xdr:from>
      <xdr:col>5</xdr:col>
      <xdr:colOff>159561</xdr:colOff>
      <xdr:row>13</xdr:row>
      <xdr:rowOff>130387</xdr:rowOff>
    </xdr:from>
    <xdr:to>
      <xdr:col>5</xdr:col>
      <xdr:colOff>778397</xdr:colOff>
      <xdr:row>15</xdr:row>
      <xdr:rowOff>137124</xdr:rowOff>
    </xdr:to>
    <xdr:sp macro="" textlink="">
      <xdr:nvSpPr>
        <xdr:cNvPr id="35" name="Text Box 2">
          <a:extLst>
            <a:ext uri="{FF2B5EF4-FFF2-40B4-BE49-F238E27FC236}">
              <a16:creationId xmlns:a16="http://schemas.microsoft.com/office/drawing/2014/main" id="{AC39C1C4-FDF7-B442-B2D9-CFD693A0DEF5}"/>
            </a:ext>
          </a:extLst>
        </xdr:cNvPr>
        <xdr:cNvSpPr txBox="1">
          <a:spLocks noChangeArrowheads="1"/>
        </xdr:cNvSpPr>
      </xdr:nvSpPr>
      <xdr:spPr bwMode="auto">
        <a:xfrm>
          <a:off x="4280306" y="3116238"/>
          <a:ext cx="618836" cy="466099"/>
        </a:xfrm>
        <a:prstGeom prst="rect">
          <a:avLst/>
        </a:prstGeom>
        <a:noFill/>
        <a:ln w="9525">
          <a:noFill/>
          <a:miter lim="800000"/>
          <a:headEnd/>
          <a:tailEnd/>
        </a:ln>
      </xdr:spPr>
      <xdr:txBody>
        <a:bodyPr vertOverflow="clip" wrap="square" lIns="27432" tIns="27432"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GB" sz="2400" b="0" i="0" u="none" strike="noStrike" baseline="0">
              <a:solidFill>
                <a:srgbClr val="000000"/>
              </a:solidFill>
              <a:latin typeface="SegoeUISymbol" pitchFamily="2" charset="0"/>
            </a:rPr>
            <a: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en-GB" sz="2400" b="0" i="0" u="none" strike="noStrike" baseline="0">
            <a:solidFill>
              <a:srgbClr val="000000"/>
            </a:solidFill>
            <a:latin typeface="SegoeUISymbol" pitchFamily="2" charset="0"/>
          </a:endParaRPr>
        </a:p>
        <a:p>
          <a:pPr algn="l" rtl="0">
            <a:defRPr sz="1000"/>
          </a:pPr>
          <a:endParaRPr lang="en-GB" sz="2400" b="0" i="0" u="none" strike="noStrike" baseline="0">
            <a:solidFill>
              <a:srgbClr val="000000"/>
            </a:solidFill>
            <a:latin typeface="SegoeUISymbol" pitchFamily="2" charset="0"/>
          </a:endParaRPr>
        </a:p>
      </xdr:txBody>
    </xdr:sp>
    <xdr:clientData/>
  </xdr:twoCellAnchor>
  <xdr:twoCellAnchor>
    <xdr:from>
      <xdr:col>8</xdr:col>
      <xdr:colOff>147247</xdr:colOff>
      <xdr:row>13</xdr:row>
      <xdr:rowOff>55650</xdr:rowOff>
    </xdr:from>
    <xdr:to>
      <xdr:col>8</xdr:col>
      <xdr:colOff>815728</xdr:colOff>
      <xdr:row>15</xdr:row>
      <xdr:rowOff>103565</xdr:rowOff>
    </xdr:to>
    <xdr:sp macro="" textlink="">
      <xdr:nvSpPr>
        <xdr:cNvPr id="36" name="Text Box 2">
          <a:extLst>
            <a:ext uri="{FF2B5EF4-FFF2-40B4-BE49-F238E27FC236}">
              <a16:creationId xmlns:a16="http://schemas.microsoft.com/office/drawing/2014/main" id="{8C074750-4707-1B4A-8B69-32E920A37B35}"/>
            </a:ext>
          </a:extLst>
        </xdr:cNvPr>
        <xdr:cNvSpPr txBox="1">
          <a:spLocks noChangeArrowheads="1"/>
        </xdr:cNvSpPr>
      </xdr:nvSpPr>
      <xdr:spPr bwMode="auto">
        <a:xfrm>
          <a:off x="6740438" y="3041501"/>
          <a:ext cx="668481" cy="507277"/>
        </a:xfrm>
        <a:prstGeom prst="rect">
          <a:avLst/>
        </a:prstGeom>
        <a:noFill/>
        <a:ln w="9525">
          <a:noFill/>
          <a:miter lim="800000"/>
          <a:headEnd/>
          <a:tailEnd/>
        </a:ln>
      </xdr:spPr>
      <xdr:txBody>
        <a:bodyPr vertOverflow="clip" wrap="square" lIns="27432" tIns="27432"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GB" sz="2400" b="0" i="0" u="none" strike="noStrike" baseline="0">
              <a:solidFill>
                <a:srgbClr val="000000"/>
              </a:solidFill>
              <a:latin typeface="SegoeUISymbol" pitchFamily="2" charset="0"/>
            </a:rPr>
            <a:t>$</a:t>
          </a:r>
        </a:p>
        <a:p>
          <a:pPr algn="l" rtl="0">
            <a:defRPr sz="1000"/>
          </a:pPr>
          <a:endParaRPr lang="en-GB" sz="2400" b="0" i="0" u="none" strike="noStrike" baseline="0">
            <a:solidFill>
              <a:srgbClr val="000000"/>
            </a:solidFill>
            <a:latin typeface="SegoeUISymbol" pitchFamily="2" charset="0"/>
          </a:endParaRPr>
        </a:p>
      </xdr:txBody>
    </xdr:sp>
    <xdr:clientData/>
  </xdr:twoCellAnchor>
  <xdr:twoCellAnchor>
    <xdr:from>
      <xdr:col>3</xdr:col>
      <xdr:colOff>275977</xdr:colOff>
      <xdr:row>8</xdr:row>
      <xdr:rowOff>21978</xdr:rowOff>
    </xdr:from>
    <xdr:to>
      <xdr:col>3</xdr:col>
      <xdr:colOff>792444</xdr:colOff>
      <xdr:row>10</xdr:row>
      <xdr:rowOff>38911</xdr:rowOff>
    </xdr:to>
    <xdr:sp macro="" textlink="">
      <xdr:nvSpPr>
        <xdr:cNvPr id="33" name="Rounded Rectangle 32">
          <a:extLst>
            <a:ext uri="{FF2B5EF4-FFF2-40B4-BE49-F238E27FC236}">
              <a16:creationId xmlns:a16="http://schemas.microsoft.com/office/drawing/2014/main" id="{21E023BE-577D-7F43-884B-6907E747681E}"/>
            </a:ext>
          </a:extLst>
        </xdr:cNvPr>
        <xdr:cNvSpPr/>
      </xdr:nvSpPr>
      <xdr:spPr>
        <a:xfrm>
          <a:off x="2748424" y="1859425"/>
          <a:ext cx="516467" cy="476295"/>
        </a:xfrm>
        <a:prstGeom prst="roundRect">
          <a:avLst/>
        </a:prstGeom>
        <a:solidFill>
          <a:srgbClr val="DBEAFE"/>
        </a:solidFill>
        <a:ln>
          <a:solidFill>
            <a:schemeClr val="bg1">
              <a:lumMod val="85000"/>
              <a:alpha val="30000"/>
            </a:schemeClr>
          </a:solidFill>
        </a:ln>
        <a:effectLst>
          <a:glow rad="101600">
            <a:srgbClr val="93C5FD">
              <a:alpha val="50000"/>
            </a:srgbClr>
          </a:glow>
          <a:outerShdw blurRad="152400" dist="254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559610</xdr:colOff>
      <xdr:row>10</xdr:row>
      <xdr:rowOff>127810</xdr:rowOff>
    </xdr:from>
    <xdr:to>
      <xdr:col>4</xdr:col>
      <xdr:colOff>597710</xdr:colOff>
      <xdr:row>13</xdr:row>
      <xdr:rowOff>127811</xdr:rowOff>
    </xdr:to>
    <xdr:sp macro="" textlink="">
      <xdr:nvSpPr>
        <xdr:cNvPr id="37" name="TextBox 36">
          <a:extLst>
            <a:ext uri="{FF2B5EF4-FFF2-40B4-BE49-F238E27FC236}">
              <a16:creationId xmlns:a16="http://schemas.microsoft.com/office/drawing/2014/main" id="{B40D8B1D-92A0-8543-BEFB-E5BAA9658525}"/>
            </a:ext>
          </a:extLst>
        </xdr:cNvPr>
        <xdr:cNvSpPr txBox="1"/>
      </xdr:nvSpPr>
      <xdr:spPr>
        <a:xfrm>
          <a:off x="2207908" y="2424619"/>
          <a:ext cx="1686398" cy="689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rgbClr val="000000"/>
              </a:solidFill>
              <a:latin typeface="Calibri" panose="020F0502020204030204" pitchFamily="34" charset="0"/>
              <a:cs typeface="Calibri" panose="020F0502020204030204" pitchFamily="34" charset="0"/>
            </a:rPr>
            <a:t>PAYSECURE</a:t>
          </a:r>
          <a:r>
            <a:rPr lang="en-US" sz="1400" b="1" i="0" u="none" strike="noStrike" baseline="0">
              <a:solidFill>
                <a:srgbClr val="000000"/>
              </a:solidFill>
              <a:latin typeface="Calibri" panose="020F0502020204030204" pitchFamily="34" charset="0"/>
              <a:cs typeface="Calibri" panose="020F0502020204030204" pitchFamily="34" charset="0"/>
            </a:rPr>
            <a:t> FRAUD &amp; </a:t>
          </a:r>
          <a:r>
            <a:rPr lang="en-US" sz="1400" b="1" i="0" u="none" strike="noStrike">
              <a:solidFill>
                <a:srgbClr val="000000"/>
              </a:solidFill>
              <a:latin typeface="Calibri" panose="020F0502020204030204" pitchFamily="34" charset="0"/>
              <a:cs typeface="Calibri" panose="020F0502020204030204" pitchFamily="34" charset="0"/>
            </a:rPr>
            <a:t>RISK</a:t>
          </a:r>
          <a:r>
            <a:rPr lang="en-US" sz="1400" b="1" i="0" u="none" strike="noStrike" baseline="0">
              <a:solidFill>
                <a:srgbClr val="000000"/>
              </a:solidFill>
              <a:latin typeface="Calibri" panose="020F0502020204030204" pitchFamily="34" charset="0"/>
              <a:cs typeface="Calibri" panose="020F0502020204030204" pitchFamily="34" charset="0"/>
            </a:rPr>
            <a:t> ANALYSIS</a:t>
          </a:r>
          <a:endParaRPr lang="en-US" sz="14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editAs="oneCell">
    <xdr:from>
      <xdr:col>3</xdr:col>
      <xdr:colOff>292910</xdr:colOff>
      <xdr:row>8</xdr:row>
      <xdr:rowOff>38911</xdr:rowOff>
    </xdr:from>
    <xdr:to>
      <xdr:col>3</xdr:col>
      <xdr:colOff>750110</xdr:colOff>
      <xdr:row>10</xdr:row>
      <xdr:rowOff>38910</xdr:rowOff>
    </xdr:to>
    <xdr:pic>
      <xdr:nvPicPr>
        <xdr:cNvPr id="31" name="Graphic 30" descr="Signal with solid fill">
          <a:extLst>
            <a:ext uri="{FF2B5EF4-FFF2-40B4-BE49-F238E27FC236}">
              <a16:creationId xmlns:a16="http://schemas.microsoft.com/office/drawing/2014/main" id="{EFC2F92C-ECA9-293A-ECB5-B87D0F2C2AC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65357" y="1876358"/>
          <a:ext cx="457200" cy="459361"/>
        </a:xfrm>
        <a:prstGeom prst="rect">
          <a:avLst/>
        </a:prstGeom>
      </xdr:spPr>
    </xdr:pic>
    <xdr:clientData/>
  </xdr:twoCellAnchor>
  <xdr:twoCellAnchor>
    <xdr:from>
      <xdr:col>5</xdr:col>
      <xdr:colOff>529072</xdr:colOff>
      <xdr:row>31</xdr:row>
      <xdr:rowOff>5212</xdr:rowOff>
    </xdr:from>
    <xdr:to>
      <xdr:col>11</xdr:col>
      <xdr:colOff>384520</xdr:colOff>
      <xdr:row>40</xdr:row>
      <xdr:rowOff>56320</xdr:rowOff>
    </xdr:to>
    <xdr:graphicFrame macro="">
      <xdr:nvGraphicFramePr>
        <xdr:cNvPr id="43" name="Chart 42">
          <a:extLst>
            <a:ext uri="{FF2B5EF4-FFF2-40B4-BE49-F238E27FC236}">
              <a16:creationId xmlns:a16="http://schemas.microsoft.com/office/drawing/2014/main" id="{021D175B-8986-774D-9A6F-462394F6D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6" xr16:uid="{0DCEB2F1-C1FF-0A4A-804A-30EC74C2123D}" autoFormatId="16" applyNumberFormats="0" applyBorderFormats="0" applyFontFormats="0" applyPatternFormats="0" applyAlignmentFormats="0" applyWidthHeightFormats="0">
  <queryTableRefresh nextId="5">
    <queryTableFields count="4">
      <queryTableField id="1" name="total_transactions" tableColumnId="1"/>
      <queryTableField id="2" name="fraud_transactions" tableColumnId="2"/>
      <queryTableField id="3" name="fraud_rate" tableColumnId="3"/>
      <queryTableField id="4" name="fraud_loss"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3" xr16:uid="{DBA98D5D-B83F-AF48-AD50-2D26AF2E2237}" autoFormatId="16" applyNumberFormats="0" applyBorderFormats="0" applyFontFormats="0" applyPatternFormats="0" applyAlignmentFormats="0" applyWidthHeightFormats="0">
  <queryTableRefresh nextId="6">
    <queryTableFields count="5">
      <queryTableField id="1" name="Transaction_type" tableColumnId="1"/>
      <queryTableField id="2" name="total_transactions" tableColumnId="2"/>
      <queryTableField id="3" name="total_fraud_transactions" tableColumnId="3"/>
      <queryTableField id="4" name="fraud_percentage" tableColumnId="4"/>
      <queryTableField id="5" name="fraud_loss"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5" xr16:uid="{138E523D-89DB-4F4D-B222-1F04AEF93508}" autoFormatId="16" applyNumberFormats="0" applyBorderFormats="0" applyFontFormats="0" applyPatternFormats="0" applyAlignmentFormats="0" applyWidthHeightFormats="0">
  <queryTableRefresh nextId="4">
    <queryTableFields count="3">
      <queryTableField id="1" name="hour_step" tableColumnId="1"/>
      <queryTableField id="2" name="fraud_count" tableColumnId="2"/>
      <queryTableField id="3" name="fraud_loss_per_hour"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FBA0E495-E4DF-C245-AB72-D3070ABE9F12}" autoFormatId="16" applyNumberFormats="0" applyBorderFormats="0" applyFontFormats="0" applyPatternFormats="0" applyAlignmentFormats="0" applyWidthHeightFormats="0">
  <queryTableRefresh nextId="9" unboundColumnsRight="1">
    <queryTableFields count="7">
      <queryTableField id="1" name="actual_fraud_count" tableColumnId="1"/>
      <queryTableField id="2" name="system_flagged_count" tableColumnId="2"/>
      <queryTableField id="3" name="caught_fraud_count" tableColumnId="3"/>
      <queryTableField id="4" name="actual_fraud_loss" tableColumnId="4"/>
      <queryTableField id="5" name="caught_fraud_loss" tableColumnId="5"/>
      <queryTableField id="6" name="detection_rate" tableColumnId="6"/>
      <queryTableField id="7" dataBound="0"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89F81818-E560-864B-91E0-7E3F060B80E3}" autoFormatId="16" applyNumberFormats="0" applyBorderFormats="0" applyFontFormats="0" applyPatternFormats="0" applyAlignmentFormats="0" applyWidthHeightFormats="0">
  <queryTableRefresh nextId="9">
    <queryTableFields count="8">
      <queryTableField id="1" name="isFraud" tableColumnId="1"/>
      <queryTableField id="2" name="total_transactions" tableColumnId="2"/>
      <queryTableField id="3" name="avg_amount" tableColumnId="3"/>
      <queryTableField id="4" name="min_amount" tableColumnId="4"/>
      <queryTableField id="5" name="max_amount" tableColumnId="5"/>
      <queryTableField id="6" name="avg_balance_drop" tableColumnId="6"/>
      <queryTableField id="7" name="zero_balance_cases" tableColumnId="7"/>
      <queryTableField id="8" name="zero_balance_rat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A29DCCFA-94BC-E240-8B79-143A0B4E2D40}" autoFormatId="16" applyNumberFormats="0" applyBorderFormats="0" applyFontFormats="0" applyPatternFormats="0" applyAlignmentFormats="0" applyWidthHeightFormats="0">
  <queryTableRefresh nextId="7" unboundColumnsRight="1">
    <queryTableFields count="4">
      <queryTableField id="1" name="amount_bucket" tableColumnId="1"/>
      <queryTableField id="2" name="isFraud" tableColumnId="2"/>
      <queryTableField id="3" name="txn_count" tableColumnId="3"/>
      <queryTableField id="6"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4EEC5685-782D-2D47-8C52-B567C23EC97D}" sourceName="Transaction_type">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_type" xr10:uid="{F83FD7F6-135D-124C-8372-B3CDB300812C}" cache="Slicer_Transaction_type" caption="Transaction_type" rowHeight="2942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_type 1" xr10:uid="{9EF5D013-4F0C-4148-BB75-69169BB26E8F}" cache="Slicer_Transaction_type" caption="Transaction_type" style="SlicerStyleOther2"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380726-7E94-7147-9205-21BE58F1E614}" name="KPIS" displayName="KPIS" ref="A1:D2" tableType="queryTable" totalsRowShown="0">
  <tableColumns count="4">
    <tableColumn id="1" xr3:uid="{C0F72D26-C3F3-6943-B95A-D05FFAE2213C}" uniqueName="1" name="total_transactions" queryTableFieldId="1" dataDxfId="17"/>
    <tableColumn id="2" xr3:uid="{E72A37DE-C35C-F443-A4B5-29FC69F53D36}" uniqueName="2" name="fraud_transactions" queryTableFieldId="2"/>
    <tableColumn id="3" xr3:uid="{18694BCD-546E-BA40-94DE-A1E88567B8AE}" uniqueName="3" name="fraud_rate" queryTableFieldId="3"/>
    <tableColumn id="4" xr3:uid="{489B7347-DA95-824A-8914-F449A3FB3A83}" uniqueName="4" name="fraud_loss" queryTableFieldId="4"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267C4D5-898B-B145-8413-ECD717A1CFF1}" name="fraudbytype" displayName="fraudbytype" ref="A1:E6" tableType="queryTable" totalsRowShown="0">
  <autoFilter ref="A1:E6" xr:uid="{8267C4D5-898B-B145-8413-ECD717A1CFF1}"/>
  <tableColumns count="5">
    <tableColumn id="1" xr3:uid="{4E155003-AF27-D347-9CAB-4F7181EC3674}" uniqueName="1" name="Transaction_type" queryTableFieldId="1" dataDxfId="15"/>
    <tableColumn id="2" xr3:uid="{2D164C60-7F5F-124A-93C9-71371A8AD32B}" uniqueName="2" name="total_transactions" queryTableFieldId="2" dataDxfId="14"/>
    <tableColumn id="3" xr3:uid="{0E4AE54C-2E48-E544-9B49-37C6E7957F90}" uniqueName="3" name="total_fraud_transactions" queryTableFieldId="3"/>
    <tableColumn id="4" xr3:uid="{96F1E61D-53B1-9141-B437-24AF69F0ED61}" uniqueName="4" name="fraud_percentage" queryTableFieldId="4"/>
    <tableColumn id="5" xr3:uid="{01D4D77D-B2A0-B741-A7EC-648E706DDEA3}" uniqueName="5" name="fraud_loss" queryTableFieldId="5"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C6C133-2393-144D-A81B-9F35C0F76A3C}" name="ft" displayName="ft" ref="A1:C25" tableType="queryTable" totalsRowShown="0">
  <tableColumns count="3">
    <tableColumn id="1" xr3:uid="{C2A8D90C-2919-3D4A-9F7C-1D666B00C899}" uniqueName="1" name="hour_step" queryTableFieldId="1"/>
    <tableColumn id="2" xr3:uid="{DB596C40-3399-B344-BC8D-5185A1838D09}" uniqueName="2" name="fraud_count" queryTableFieldId="2"/>
    <tableColumn id="3" xr3:uid="{1F111D73-8356-8940-8A12-3F6B9AF94EC5}" uniqueName="3" name="fraud_loss_per_hour" queryTableFieldId="3"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3BC10A-1DB5-AB48-8B56-AE37EB4B4279}" name="fd" displayName="fd" ref="A1:G2" tableType="queryTable" totalsRowShown="0">
  <autoFilter ref="A1:G2" xr:uid="{1A3BC10A-1DB5-AB48-8B56-AE37EB4B4279}"/>
  <tableColumns count="7">
    <tableColumn id="1" xr3:uid="{B9890CA9-80B7-064A-AD18-6CDE618EF2D4}" uniqueName="1" name="actual_fraud_count" queryTableFieldId="1"/>
    <tableColumn id="2" xr3:uid="{ECC4D982-E9FB-2447-90FB-6F34A690BF99}" uniqueName="2" name="system_flagged_count" queryTableFieldId="2"/>
    <tableColumn id="3" xr3:uid="{7018E7D8-F928-8C41-A5DB-EB0A0B199BA6}" uniqueName="3" name="caught_fraud_count" queryTableFieldId="3"/>
    <tableColumn id="4" xr3:uid="{971C4695-EEE8-1A4E-8FBF-75417F9D2AB6}" uniqueName="4" name="actual_fraud_loss" queryTableFieldId="4" dataDxfId="11"/>
    <tableColumn id="5" xr3:uid="{FA64087B-C57B-6A46-9062-A35AD45C90C0}" uniqueName="5" name="caught_fraud_loss" queryTableFieldId="5" dataDxfId="10"/>
    <tableColumn id="6" xr3:uid="{678C2F16-BFA9-C845-92FB-546BAB5F371B}" uniqueName="6" name="detection_rate" queryTableFieldId="6" dataDxfId="9" dataCellStyle="Per cent"/>
    <tableColumn id="7" xr3:uid="{E81F716C-0949-E943-BEF7-C9230B16F145}" uniqueName="7" name="undetected_rate" queryTableFieldId="7" dataDxfId="8" dataCellStyle="Per cent">
      <calculatedColumnFormula>1-fd[[#This Row],[detection_rate]]</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6321D9-8FA4-474C-83A0-201F3B517CF4}" name="fb" displayName="fb" ref="A1:H3" tableType="queryTable" totalsRowShown="0">
  <autoFilter ref="A1:H3" xr:uid="{7C6321D9-8FA4-474C-83A0-201F3B517CF4}"/>
  <tableColumns count="8">
    <tableColumn id="1" xr3:uid="{F614C3F0-EC8D-8B4C-B852-9164694EDFED}" uniqueName="1" name="isFraud" queryTableFieldId="1"/>
    <tableColumn id="2" xr3:uid="{BED30A00-D238-E84E-815A-3285EB656EB1}" uniqueName="2" name="total_transactions" queryTableFieldId="2"/>
    <tableColumn id="3" xr3:uid="{73D6CD32-E02F-2F44-B6FA-7AEDD3DE214E}" uniqueName="3" name="avg_amount" queryTableFieldId="3" dataDxfId="7"/>
    <tableColumn id="4" xr3:uid="{0095E844-1B98-CC46-B0D5-8FE61ED24406}" uniqueName="4" name="min_amount" queryTableFieldId="4"/>
    <tableColumn id="5" xr3:uid="{20738B13-CE8A-2D48-83B7-B96A205E48E2}" uniqueName="5" name="max_amount" queryTableFieldId="5" dataDxfId="6"/>
    <tableColumn id="6" xr3:uid="{0094D833-B4E0-9644-B21A-D26FC714AAA1}" uniqueName="6" name="avg_balance_drop" queryTableFieldId="6" dataDxfId="5"/>
    <tableColumn id="7" xr3:uid="{DE1772F6-6DFE-BC43-B7C1-7A26F01D0152}" uniqueName="7" name="zero_balance_cases" queryTableFieldId="7"/>
    <tableColumn id="8" xr3:uid="{2BE324EA-97B8-6048-BDBE-C2CA7CE80426}" uniqueName="8" name="zero_balance_rate" queryTableFieldId="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2582F9-6A49-9340-A7FD-610A51BE4FD1}" name="Table9" displayName="Table9" ref="A9:C15" totalsRowShown="0" headerRowCellStyle="Normal" dataCellStyle="Normal">
  <autoFilter ref="A9:C15" xr:uid="{252582F9-6A49-9340-A7FD-610A51BE4FD1}"/>
  <tableColumns count="3">
    <tableColumn id="1" xr3:uid="{78AA3907-DC3A-A34D-B46C-2CB9B3B6F05B}" name="Amount Bucket Fraud Class" dataCellStyle="Normal">
      <calculatedColumnFormula>A2 &amp; " - " &amp; B2</calculatedColumnFormula>
    </tableColumn>
    <tableColumn id="2" xr3:uid="{307812B9-6FC0-3B49-BA7A-50D03D0686AF}" name="No.of.transactions" dataCellStyle="Normal"/>
    <tableColumn id="3" xr3:uid="{518F9246-DA5C-494D-B605-09A1C36F68E1}" name="Rate" dataDxfId="4" dataCellStyle="Per cent"/>
  </tableColumns>
  <tableStyleInfo name="TableStyleMedium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A6BC5F3-2BE3-9544-925F-30C03267DE56}" name="amountbucket" displayName="amountbucket" ref="A1:D7" tableType="queryTable" totalsRowShown="0">
  <autoFilter ref="A1:D7" xr:uid="{FA6BC5F3-2BE3-9544-925F-30C03267DE56}"/>
  <sortState xmlns:xlrd2="http://schemas.microsoft.com/office/spreadsheetml/2017/richdata2" ref="A2:D7">
    <sortCondition ref="B1:B7"/>
  </sortState>
  <tableColumns count="4">
    <tableColumn id="1" xr3:uid="{A15846B7-C193-8D4E-BD1B-F874ECD723B3}" uniqueName="1" name="amount_bucket" queryTableFieldId="1" dataDxfId="3"/>
    <tableColumn id="2" xr3:uid="{B6102D5F-0399-2547-9F18-AD20CEA9B75E}" uniqueName="2" name="isFraud" queryTableFieldId="2"/>
    <tableColumn id="3" xr3:uid="{92087D2A-2610-4A43-AA15-8BE2AE09F0FD}" uniqueName="3" name="txn_count" queryTableFieldId="3"/>
    <tableColumn id="8" xr3:uid="{54F031FD-63FA-3244-9071-5378D01819D8}" uniqueName="8" name="Rate" queryTableFieldId="6" dataDxfId="2" dataCellStyle="Per cent">
      <calculatedColumnFormula>C2/($C$2+$C$3)</calculatedColumn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432CCA-B887-6349-93C3-13BCBE477F0E}" name="Table2" displayName="Table2" ref="A17:C20" totalsRowShown="0" headerRowDxfId="1" headerRowBorderDxfId="0">
  <autoFilter ref="A17:C20" xr:uid="{11432CCA-B887-6349-93C3-13BCBE477F0E}"/>
  <sortState xmlns:xlrd2="http://schemas.microsoft.com/office/spreadsheetml/2017/richdata2" ref="A18:C20">
    <sortCondition descending="1" ref="C17:C20"/>
  </sortState>
  <tableColumns count="3">
    <tableColumn id="1" xr3:uid="{FF9D4A7D-E219-1946-9E0C-3FECF3DD5518}" name="Amount Bucket Fraud Class"/>
    <tableColumn id="2" xr3:uid="{01A4678C-AA15-9842-AD30-59B15105ACC1}" name="No.of.transactions"/>
    <tableColumn id="3" xr3:uid="{E2215644-FBF3-6C4F-A581-3D65A16918C1}" name="R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00015-9BD4-0545-BF8B-AC195A73E905}">
  <dimension ref="A1:D2"/>
  <sheetViews>
    <sheetView workbookViewId="0">
      <selection activeCell="D28" sqref="D28"/>
    </sheetView>
  </sheetViews>
  <sheetFormatPr baseColWidth="10" defaultRowHeight="18"/>
  <cols>
    <col min="1" max="1" width="16.83203125" bestFit="1" customWidth="1"/>
    <col min="2" max="2" width="17.5" bestFit="1" customWidth="1"/>
    <col min="3" max="3" width="10" bestFit="1" customWidth="1"/>
    <col min="4" max="4" width="11" bestFit="1" customWidth="1"/>
  </cols>
  <sheetData>
    <row r="1" spans="1:4">
      <c r="A1" t="s">
        <v>1</v>
      </c>
      <c r="B1" t="s">
        <v>25</v>
      </c>
      <c r="C1" t="s">
        <v>26</v>
      </c>
      <c r="D1" t="s">
        <v>10</v>
      </c>
    </row>
    <row r="2" spans="1:4">
      <c r="A2" s="1">
        <v>6362620</v>
      </c>
      <c r="B2">
        <v>8213</v>
      </c>
      <c r="C2">
        <v>0.13</v>
      </c>
      <c r="D2" s="1">
        <v>12056415427.84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A8C9B-BD5D-B747-A498-5F517775983B}">
  <dimension ref="A1:E6"/>
  <sheetViews>
    <sheetView workbookViewId="0">
      <selection sqref="A1:E6"/>
    </sheetView>
  </sheetViews>
  <sheetFormatPr baseColWidth="10" defaultRowHeight="18"/>
  <cols>
    <col min="1" max="1" width="18.5" bestFit="1" customWidth="1"/>
    <col min="2" max="2" width="19.33203125" bestFit="1" customWidth="1"/>
    <col min="3" max="3" width="25" bestFit="1" customWidth="1"/>
    <col min="4" max="4" width="19.1640625" bestFit="1" customWidth="1"/>
    <col min="5" max="5" width="12.5" bestFit="1" customWidth="1"/>
  </cols>
  <sheetData>
    <row r="1" spans="1:5">
      <c r="A1" t="s">
        <v>7</v>
      </c>
      <c r="B1" t="s">
        <v>1</v>
      </c>
      <c r="C1" t="s">
        <v>8</v>
      </c>
      <c r="D1" t="s">
        <v>9</v>
      </c>
      <c r="E1" t="s">
        <v>10</v>
      </c>
    </row>
    <row r="2" spans="1:5">
      <c r="A2" t="s">
        <v>11</v>
      </c>
      <c r="B2" s="1">
        <v>2151495</v>
      </c>
      <c r="C2">
        <v>0</v>
      </c>
      <c r="D2">
        <v>0</v>
      </c>
      <c r="E2" s="1">
        <v>0</v>
      </c>
    </row>
    <row r="3" spans="1:5">
      <c r="A3" t="s">
        <v>12</v>
      </c>
      <c r="B3" s="1">
        <v>532909</v>
      </c>
      <c r="C3">
        <v>4097</v>
      </c>
      <c r="D3">
        <v>0.77</v>
      </c>
      <c r="E3" s="1">
        <v>6067213184.0100002</v>
      </c>
    </row>
    <row r="4" spans="1:5">
      <c r="A4" t="s">
        <v>13</v>
      </c>
      <c r="B4" s="1">
        <v>2237500</v>
      </c>
      <c r="C4">
        <v>4116</v>
      </c>
      <c r="D4">
        <v>0.18</v>
      </c>
      <c r="E4" s="1">
        <v>5989202243.8299999</v>
      </c>
    </row>
    <row r="5" spans="1:5">
      <c r="A5" t="s">
        <v>14</v>
      </c>
      <c r="B5" s="1">
        <v>41432</v>
      </c>
      <c r="C5">
        <v>0</v>
      </c>
      <c r="D5">
        <v>0</v>
      </c>
      <c r="E5" s="1">
        <v>0</v>
      </c>
    </row>
    <row r="6" spans="1:5">
      <c r="A6" t="s">
        <v>15</v>
      </c>
      <c r="B6" s="1">
        <v>1399284</v>
      </c>
      <c r="C6">
        <v>0</v>
      </c>
      <c r="D6">
        <v>0</v>
      </c>
      <c r="E6" s="1">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32E23-79E6-564E-89F9-FC5247BD5BCA}">
  <dimension ref="A1:C25"/>
  <sheetViews>
    <sheetView zoomScale="50" workbookViewId="0">
      <selection sqref="A1:C25"/>
    </sheetView>
  </sheetViews>
  <sheetFormatPr baseColWidth="10" defaultRowHeight="18"/>
  <cols>
    <col min="1" max="1" width="10.1640625" bestFit="1" customWidth="1"/>
    <col min="2" max="2" width="11.83203125" bestFit="1" customWidth="1"/>
    <col min="3" max="3" width="19.1640625" style="1" bestFit="1" customWidth="1"/>
  </cols>
  <sheetData>
    <row r="1" spans="1:3">
      <c r="A1" t="s">
        <v>22</v>
      </c>
      <c r="B1" t="s">
        <v>23</v>
      </c>
      <c r="C1" s="1" t="s">
        <v>24</v>
      </c>
    </row>
    <row r="2" spans="1:3">
      <c r="A2">
        <v>0</v>
      </c>
      <c r="B2">
        <v>300</v>
      </c>
      <c r="C2" s="1">
        <v>1364589.932733</v>
      </c>
    </row>
    <row r="3" spans="1:3">
      <c r="A3">
        <v>1</v>
      </c>
      <c r="B3">
        <v>358</v>
      </c>
      <c r="C3" s="1">
        <v>1024261.588296</v>
      </c>
    </row>
    <row r="4" spans="1:3">
      <c r="A4">
        <v>2</v>
      </c>
      <c r="B4">
        <v>372</v>
      </c>
      <c r="C4" s="1">
        <v>1882202.3563979999</v>
      </c>
    </row>
    <row r="5" spans="1:3">
      <c r="A5">
        <v>3</v>
      </c>
      <c r="B5">
        <v>326</v>
      </c>
      <c r="C5" s="1">
        <v>1928098.3342019999</v>
      </c>
    </row>
    <row r="6" spans="1:3">
      <c r="A6">
        <v>4</v>
      </c>
      <c r="B6">
        <v>274</v>
      </c>
      <c r="C6" s="1">
        <v>1243001.0392700001</v>
      </c>
    </row>
    <row r="7" spans="1:3">
      <c r="A7">
        <v>5</v>
      </c>
      <c r="B7">
        <v>366</v>
      </c>
      <c r="C7" s="1">
        <v>1373562.0209840001</v>
      </c>
    </row>
    <row r="8" spans="1:3">
      <c r="A8">
        <v>6</v>
      </c>
      <c r="B8">
        <v>358</v>
      </c>
      <c r="C8" s="1">
        <v>1246330.6432119999</v>
      </c>
    </row>
    <row r="9" spans="1:3">
      <c r="A9">
        <v>7</v>
      </c>
      <c r="B9">
        <v>328</v>
      </c>
      <c r="C9" s="1">
        <v>1007047.682439</v>
      </c>
    </row>
    <row r="10" spans="1:3">
      <c r="A10">
        <v>8</v>
      </c>
      <c r="B10">
        <v>368</v>
      </c>
      <c r="C10" s="1">
        <v>1688439.7229619999</v>
      </c>
    </row>
    <row r="11" spans="1:3">
      <c r="A11">
        <v>9</v>
      </c>
      <c r="B11">
        <v>341</v>
      </c>
      <c r="C11" s="1">
        <v>1211363.300235</v>
      </c>
    </row>
    <row r="12" spans="1:3">
      <c r="A12">
        <v>10</v>
      </c>
      <c r="B12">
        <v>375</v>
      </c>
      <c r="C12" s="1">
        <v>1835572.348613</v>
      </c>
    </row>
    <row r="13" spans="1:3">
      <c r="A13">
        <v>11</v>
      </c>
      <c r="B13">
        <v>324</v>
      </c>
      <c r="C13" s="1">
        <v>1120016.9712350001</v>
      </c>
    </row>
    <row r="14" spans="1:3">
      <c r="A14">
        <v>12</v>
      </c>
      <c r="B14">
        <v>339</v>
      </c>
      <c r="C14" s="1">
        <v>1349948.56</v>
      </c>
    </row>
    <row r="15" spans="1:3">
      <c r="A15">
        <v>13</v>
      </c>
      <c r="B15">
        <v>346</v>
      </c>
      <c r="C15" s="1">
        <v>1373890.8198840001</v>
      </c>
    </row>
    <row r="16" spans="1:3">
      <c r="A16">
        <v>14</v>
      </c>
      <c r="B16">
        <v>353</v>
      </c>
      <c r="C16" s="1">
        <v>1839865.9760340001</v>
      </c>
    </row>
    <row r="17" spans="1:3">
      <c r="A17">
        <v>15</v>
      </c>
      <c r="B17">
        <v>341</v>
      </c>
      <c r="C17" s="1">
        <v>1195238.2817599999</v>
      </c>
    </row>
    <row r="18" spans="1:3">
      <c r="A18">
        <v>16</v>
      </c>
      <c r="B18">
        <v>345</v>
      </c>
      <c r="C18" s="1">
        <v>1500733.686029</v>
      </c>
    </row>
    <row r="19" spans="1:3">
      <c r="A19">
        <v>17</v>
      </c>
      <c r="B19">
        <v>353</v>
      </c>
      <c r="C19" s="1">
        <v>1627693.3376770001</v>
      </c>
    </row>
    <row r="20" spans="1:3">
      <c r="A20">
        <v>18</v>
      </c>
      <c r="B20">
        <v>343</v>
      </c>
      <c r="C20" s="1">
        <v>1432004.8280170001</v>
      </c>
    </row>
    <row r="21" spans="1:3">
      <c r="A21">
        <v>19</v>
      </c>
      <c r="B21">
        <v>342</v>
      </c>
      <c r="C21" s="1">
        <v>1197679.4667249999</v>
      </c>
    </row>
    <row r="22" spans="1:3">
      <c r="A22">
        <v>20</v>
      </c>
      <c r="B22">
        <v>340</v>
      </c>
      <c r="C22" s="1">
        <v>1456681.842706</v>
      </c>
    </row>
    <row r="23" spans="1:3">
      <c r="A23">
        <v>21</v>
      </c>
      <c r="B23">
        <v>347</v>
      </c>
      <c r="C23" s="1">
        <v>1957132.436974</v>
      </c>
    </row>
    <row r="24" spans="1:3">
      <c r="A24">
        <v>22</v>
      </c>
      <c r="B24">
        <v>351</v>
      </c>
      <c r="C24" s="1">
        <v>1782622.89151</v>
      </c>
    </row>
    <row r="25" spans="1:3">
      <c r="A25">
        <v>23</v>
      </c>
      <c r="B25">
        <v>323</v>
      </c>
      <c r="C25" s="1">
        <v>1433144.237678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9DBEE-DA18-3547-B9E0-DFEC5568363F}">
  <dimension ref="A1:G2"/>
  <sheetViews>
    <sheetView workbookViewId="0">
      <selection activeCell="G2" sqref="G2"/>
    </sheetView>
  </sheetViews>
  <sheetFormatPr baseColWidth="10" defaultRowHeight="18"/>
  <cols>
    <col min="1" max="1" width="20.6640625" bestFit="1" customWidth="1"/>
    <col min="2" max="2" width="23.33203125" bestFit="1" customWidth="1"/>
    <col min="3" max="3" width="21.5" bestFit="1" customWidth="1"/>
    <col min="4" max="4" width="18.83203125" bestFit="1" customWidth="1"/>
    <col min="5" max="5" width="19.6640625" bestFit="1" customWidth="1"/>
    <col min="6" max="6" width="16.1640625" bestFit="1" customWidth="1"/>
    <col min="7" max="7" width="17.83203125" bestFit="1" customWidth="1"/>
  </cols>
  <sheetData>
    <row r="1" spans="1:7">
      <c r="A1" t="s">
        <v>16</v>
      </c>
      <c r="B1" t="s">
        <v>17</v>
      </c>
      <c r="C1" t="s">
        <v>18</v>
      </c>
      <c r="D1" t="s">
        <v>19</v>
      </c>
      <c r="E1" t="s">
        <v>20</v>
      </c>
      <c r="F1" t="s">
        <v>21</v>
      </c>
      <c r="G1" t="s">
        <v>34</v>
      </c>
    </row>
    <row r="2" spans="1:7">
      <c r="A2">
        <v>8213</v>
      </c>
      <c r="B2">
        <v>16</v>
      </c>
      <c r="C2">
        <v>16</v>
      </c>
      <c r="D2" s="1">
        <v>12056415427.84</v>
      </c>
      <c r="E2" s="1">
        <v>77785563.689999998</v>
      </c>
      <c r="F2" s="12">
        <f>fd[[#This Row],[system_flagged_count]]/fd[[#This Row],[actual_fraud_count]]</f>
        <v>1.9481310118105442E-3</v>
      </c>
      <c r="G2" s="12">
        <f>1-fd[[#This Row],[detection_rate]]</f>
        <v>0.99805186898818943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F882D-DD1D-0A49-A245-ECA5D57466B7}">
  <dimension ref="A1:H8"/>
  <sheetViews>
    <sheetView workbookViewId="0">
      <selection activeCell="G24" sqref="G24"/>
    </sheetView>
  </sheetViews>
  <sheetFormatPr baseColWidth="10" defaultRowHeight="18"/>
  <cols>
    <col min="1" max="1" width="10" bestFit="1" customWidth="1"/>
    <col min="2" max="2" width="19.33203125" bestFit="1" customWidth="1"/>
    <col min="3" max="3" width="14.5" bestFit="1" customWidth="1"/>
    <col min="4" max="4" width="14.6640625" bestFit="1" customWidth="1"/>
    <col min="5" max="5" width="15" style="1" bestFit="1" customWidth="1"/>
    <col min="6" max="6" width="19.6640625" style="1" bestFit="1" customWidth="1"/>
    <col min="7" max="7" width="20.6640625" bestFit="1" customWidth="1"/>
    <col min="8" max="8" width="19.33203125" bestFit="1" customWidth="1"/>
  </cols>
  <sheetData>
    <row r="1" spans="1:8">
      <c r="A1" t="s">
        <v>0</v>
      </c>
      <c r="B1" t="s">
        <v>1</v>
      </c>
      <c r="C1" s="1" t="s">
        <v>2</v>
      </c>
      <c r="D1" t="s">
        <v>3</v>
      </c>
      <c r="E1" s="1" t="s">
        <v>4</v>
      </c>
      <c r="F1" s="1" t="s">
        <v>36</v>
      </c>
      <c r="G1" t="s">
        <v>5</v>
      </c>
      <c r="H1" t="s">
        <v>6</v>
      </c>
    </row>
    <row r="2" spans="1:8">
      <c r="A2">
        <v>0</v>
      </c>
      <c r="B2">
        <v>6354407</v>
      </c>
      <c r="C2" s="1">
        <v>178197.041727</v>
      </c>
      <c r="D2">
        <v>0.01</v>
      </c>
      <c r="E2" s="1">
        <v>92445516.640000001</v>
      </c>
      <c r="F2" s="1">
        <v>-23141.516382000002</v>
      </c>
      <c r="G2">
        <v>3601513</v>
      </c>
      <c r="H2">
        <v>56.68</v>
      </c>
    </row>
    <row r="3" spans="1:8">
      <c r="A3">
        <v>1</v>
      </c>
      <c r="B3">
        <v>8213</v>
      </c>
      <c r="C3" s="1">
        <v>1467967.29914</v>
      </c>
      <c r="D3">
        <v>0</v>
      </c>
      <c r="E3" s="1">
        <v>10000000</v>
      </c>
      <c r="F3" s="1">
        <v>1457274.9738759999</v>
      </c>
      <c r="G3">
        <v>8053</v>
      </c>
      <c r="H3">
        <v>98.05</v>
      </c>
    </row>
    <row r="6" spans="1:8">
      <c r="B6" s="2" t="s">
        <v>0</v>
      </c>
      <c r="C6" s="9" t="s">
        <v>33</v>
      </c>
      <c r="D6" s="1"/>
      <c r="E6" s="2" t="s">
        <v>0</v>
      </c>
      <c r="F6" s="6" t="s">
        <v>6</v>
      </c>
    </row>
    <row r="7" spans="1:8">
      <c r="B7" s="3">
        <v>0</v>
      </c>
      <c r="C7" s="10">
        <v>23141.516382000002</v>
      </c>
      <c r="D7" s="1"/>
      <c r="E7" s="3">
        <v>0</v>
      </c>
      <c r="F7" s="7">
        <v>56.68</v>
      </c>
    </row>
    <row r="8" spans="1:8">
      <c r="B8" s="4">
        <v>1</v>
      </c>
      <c r="C8" s="11">
        <v>1457274.9738759999</v>
      </c>
      <c r="D8" s="1"/>
      <c r="E8" s="4">
        <v>1</v>
      </c>
      <c r="F8" s="8">
        <v>98.05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F0517-0A60-204C-9B85-48F0B68E5E7F}">
  <dimension ref="A1:H20"/>
  <sheetViews>
    <sheetView workbookViewId="0">
      <selection activeCell="A17" sqref="A17:C20"/>
    </sheetView>
  </sheetViews>
  <sheetFormatPr baseColWidth="10" defaultRowHeight="18"/>
  <cols>
    <col min="1" max="1" width="28.1640625" bestFit="1" customWidth="1"/>
    <col min="2" max="2" width="20.1640625" bestFit="1" customWidth="1"/>
    <col min="3" max="3" width="12.5" bestFit="1" customWidth="1"/>
    <col min="4" max="4" width="7.5" bestFit="1" customWidth="1"/>
    <col min="6" max="6" width="27.5" customWidth="1"/>
    <col min="7" max="7" width="19.6640625" customWidth="1"/>
    <col min="8" max="8" width="12.6640625" bestFit="1" customWidth="1"/>
  </cols>
  <sheetData>
    <row r="1" spans="1:8">
      <c r="A1" t="s">
        <v>27</v>
      </c>
      <c r="B1" t="s">
        <v>0</v>
      </c>
      <c r="C1" t="s">
        <v>37</v>
      </c>
      <c r="D1" t="s">
        <v>35</v>
      </c>
    </row>
    <row r="2" spans="1:8">
      <c r="A2" t="s">
        <v>28</v>
      </c>
      <c r="B2">
        <v>0</v>
      </c>
      <c r="C2">
        <v>2830816</v>
      </c>
      <c r="D2" s="12">
        <f t="shared" ref="D2:D7" si="0">C2/($C$2+$C$3)</f>
        <v>0.68766860332497604</v>
      </c>
    </row>
    <row r="3" spans="1:8">
      <c r="A3" t="s">
        <v>29</v>
      </c>
      <c r="B3">
        <v>0</v>
      </c>
      <c r="C3">
        <v>1285725</v>
      </c>
      <c r="D3" s="12">
        <f t="shared" si="0"/>
        <v>0.31233139667502402</v>
      </c>
    </row>
    <row r="4" spans="1:8">
      <c r="A4" t="s">
        <v>30</v>
      </c>
      <c r="B4">
        <v>0</v>
      </c>
      <c r="C4">
        <v>2237866</v>
      </c>
      <c r="D4" s="12">
        <f t="shared" si="0"/>
        <v>0.54362776904201848</v>
      </c>
    </row>
    <row r="5" spans="1:8">
      <c r="A5" t="s">
        <v>28</v>
      </c>
      <c r="B5">
        <v>1</v>
      </c>
      <c r="C5">
        <v>6506</v>
      </c>
      <c r="D5" s="12">
        <f t="shared" si="0"/>
        <v>1.5804531037101294E-3</v>
      </c>
      <c r="H5" s="12"/>
    </row>
    <row r="6" spans="1:8">
      <c r="A6" t="s">
        <v>29</v>
      </c>
      <c r="B6">
        <v>1</v>
      </c>
      <c r="C6">
        <v>278</v>
      </c>
      <c r="D6" s="12">
        <f t="shared" si="0"/>
        <v>6.7532425888628336E-5</v>
      </c>
    </row>
    <row r="7" spans="1:8">
      <c r="A7" t="s">
        <v>30</v>
      </c>
      <c r="B7">
        <v>1</v>
      </c>
      <c r="C7">
        <v>1429</v>
      </c>
      <c r="D7" s="12">
        <f t="shared" si="0"/>
        <v>3.471361028591723E-4</v>
      </c>
    </row>
    <row r="9" spans="1:8">
      <c r="A9" t="s">
        <v>31</v>
      </c>
      <c r="B9" t="s">
        <v>32</v>
      </c>
      <c r="C9" t="s">
        <v>35</v>
      </c>
    </row>
    <row r="10" spans="1:8">
      <c r="A10" t="str">
        <f t="shared" ref="A10:A15" si="1">A2 &amp; " - " &amp; B2</f>
        <v>High - 0</v>
      </c>
      <c r="B10">
        <v>2830816</v>
      </c>
      <c r="C10" s="12">
        <f>B10/($C$2+$C$3)</f>
        <v>0.68766860332497604</v>
      </c>
    </row>
    <row r="11" spans="1:8">
      <c r="A11" t="str">
        <f t="shared" si="1"/>
        <v>Low - 0</v>
      </c>
      <c r="B11">
        <v>6506</v>
      </c>
      <c r="C11" s="12">
        <f>B11/($C$2+$C$3)</f>
        <v>1.5804531037101294E-3</v>
      </c>
    </row>
    <row r="12" spans="1:8">
      <c r="A12" t="str">
        <f t="shared" si="1"/>
        <v>Medium - 0</v>
      </c>
      <c r="B12">
        <v>1285725</v>
      </c>
      <c r="C12" s="12">
        <f>B12/($C$4+$C$5)</f>
        <v>0.57286626281204722</v>
      </c>
    </row>
    <row r="13" spans="1:8">
      <c r="A13" t="str">
        <f t="shared" si="1"/>
        <v>High - 1</v>
      </c>
      <c r="B13">
        <v>278</v>
      </c>
      <c r="C13" s="12">
        <f>B13/($C$4+$C$5)</f>
        <v>1.2386538416982569E-4</v>
      </c>
    </row>
    <row r="14" spans="1:8">
      <c r="A14" t="str">
        <f t="shared" si="1"/>
        <v>Low - 1</v>
      </c>
      <c r="B14">
        <v>2237866</v>
      </c>
      <c r="C14" s="12">
        <f>B14/($C$6+$C$7)</f>
        <v>1310.9935559461044</v>
      </c>
    </row>
    <row r="15" spans="1:8">
      <c r="A15" t="str">
        <f t="shared" si="1"/>
        <v>Medium - 1</v>
      </c>
      <c r="B15">
        <v>1429</v>
      </c>
      <c r="C15" s="12">
        <f>B15/($C$6+$C$7)</f>
        <v>0.83714118336262444</v>
      </c>
    </row>
    <row r="17" spans="1:3" ht="19" thickBot="1">
      <c r="A17" s="13" t="s">
        <v>31</v>
      </c>
      <c r="B17" s="15" t="s">
        <v>32</v>
      </c>
      <c r="C17" s="14" t="s">
        <v>35</v>
      </c>
    </row>
    <row r="18" spans="1:3" ht="19" thickTop="1">
      <c r="A18" t="s">
        <v>28</v>
      </c>
      <c r="B18">
        <v>6506</v>
      </c>
      <c r="C18" s="12">
        <v>2.2930072793993775E-3</v>
      </c>
    </row>
    <row r="19" spans="1:3">
      <c r="A19" s="4" t="s">
        <v>30</v>
      </c>
      <c r="B19" s="5">
        <v>1429</v>
      </c>
      <c r="C19" s="16">
        <v>6.3814727403044258E-4</v>
      </c>
    </row>
    <row r="20" spans="1:3">
      <c r="A20" t="s">
        <v>29</v>
      </c>
      <c r="B20">
        <v>278</v>
      </c>
      <c r="C20" s="17">
        <f>B20/($C$4+$C$5)</f>
        <v>1.2386538416982569E-4</v>
      </c>
    </row>
  </sheetData>
  <phoneticPr fontId="3" type="noConversion"/>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292CD-9217-F044-AA46-5681CD178135}">
  <dimension ref="A1"/>
  <sheetViews>
    <sheetView showGridLines="0" showRowColHeaders="0" tabSelected="1" topLeftCell="A5" zoomScale="89" zoomScaleNormal="100" workbookViewId="0">
      <selection activeCell="U26" sqref="U26"/>
    </sheetView>
  </sheetViews>
  <sheetFormatPr baseColWidth="10" defaultRowHeight="18"/>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49C410-519B-5449-B76B-8D269CE8E9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kpisummary</vt:lpstr>
      <vt:lpstr>fraudbytype</vt:lpstr>
      <vt:lpstr>fraudtrend</vt:lpstr>
      <vt:lpstr>frauddetection</vt:lpstr>
      <vt:lpstr>fraudbehaviour</vt:lpstr>
      <vt:lpstr>amountbucket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dc:creator>
  <cp:lastModifiedBy>Prasad</cp:lastModifiedBy>
  <dcterms:created xsi:type="dcterms:W3CDTF">2026-06-22T11:27:03Z</dcterms:created>
  <dcterms:modified xsi:type="dcterms:W3CDTF">2026-06-26T16:28:38Z</dcterms:modified>
</cp:coreProperties>
</file>